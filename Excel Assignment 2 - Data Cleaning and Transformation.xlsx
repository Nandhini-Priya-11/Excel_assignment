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d.docs.live.net/a8aacaa002f6bb5b/"/>
    </mc:Choice>
  </mc:AlternateContent>
  <xr:revisionPtr revIDLastSave="0" documentId="8_{A47226BD-94F8-4E6D-A7EA-255DB763FF17}" xr6:coauthVersionLast="47" xr6:coauthVersionMax="47" xr10:uidLastSave="{00000000-0000-0000-0000-000000000000}"/>
  <bookViews>
    <workbookView xWindow="0" yWindow="500" windowWidth="28800" windowHeight="16560" firstSheet="1" activeTab="2" xr2:uid="{00000000-000D-0000-FFFF-FFFF00000000}"/>
  </bookViews>
  <sheets>
    <sheet name="Instructions" sheetId="1" r:id="rId1"/>
    <sheet name="Cleaning" sheetId="2" r:id="rId2"/>
    <sheet name="Dataset" sheetId="4" r:id="rId3"/>
    <sheet name="Original" sheetId="3" r:id="rId4"/>
  </sheets>
  <definedNames>
    <definedName name="_xlnm._FilterDatabase" localSheetId="1" hidden="1">Cleaning!$A$1:$W$1</definedName>
    <definedName name="_xlnm._FilterDatabase" localSheetId="3" hidden="1">Original!$A$1:$F$1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W2" i="2" l="1"/>
  <c r="X21" i="2"/>
  <c r="O21" i="2"/>
  <c r="O2" i="2"/>
  <c r="O3" i="2"/>
  <c r="O4" i="2"/>
  <c r="O5" i="2"/>
  <c r="O7" i="2"/>
  <c r="O8" i="2"/>
  <c r="O9" i="2"/>
  <c r="O10" i="2"/>
  <c r="O11" i="2"/>
  <c r="O12" i="2"/>
  <c r="O15" i="2"/>
  <c r="O16" i="2"/>
  <c r="O17" i="2"/>
  <c r="O18" i="2"/>
  <c r="O19" i="2"/>
  <c r="O20" i="2"/>
  <c r="O22" i="2"/>
  <c r="O23" i="2"/>
  <c r="O24" i="2"/>
  <c r="O25" i="2"/>
  <c r="O26" i="2"/>
  <c r="O27" i="2"/>
  <c r="O28" i="2"/>
  <c r="O29" i="2"/>
  <c r="O30" i="2"/>
  <c r="O31" i="2"/>
  <c r="O32" i="2"/>
  <c r="R3" i="2"/>
  <c r="S3" i="2"/>
  <c r="W3" i="2"/>
  <c r="W4" i="2"/>
  <c r="W5" i="2"/>
  <c r="W6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2" i="2"/>
  <c r="W23" i="2"/>
  <c r="W24" i="2"/>
  <c r="W25" i="2"/>
  <c r="W27" i="2"/>
  <c r="W28" i="2"/>
  <c r="W29" i="2"/>
  <c r="W30" i="2"/>
  <c r="W31" i="2"/>
  <c r="W32" i="2"/>
  <c r="L7" i="2"/>
  <c r="L8" i="2"/>
  <c r="L9" i="2"/>
  <c r="L10" i="2"/>
  <c r="L3" i="2"/>
  <c r="L4" i="2"/>
  <c r="L5" i="2"/>
  <c r="L6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R4" i="2"/>
  <c r="S4" i="2" s="1"/>
  <c r="R5" i="2"/>
  <c r="S5" i="2" s="1"/>
  <c r="R6" i="2"/>
  <c r="S6" i="2" s="1"/>
  <c r="R7" i="2"/>
  <c r="S7" i="2" s="1"/>
  <c r="R8" i="2"/>
  <c r="S8" i="2" s="1"/>
  <c r="R9" i="2"/>
  <c r="S9" i="2" s="1"/>
  <c r="R10" i="2"/>
  <c r="S10" i="2" s="1"/>
  <c r="R11" i="2"/>
  <c r="S11" i="2" s="1"/>
  <c r="R12" i="2"/>
  <c r="S12" i="2" s="1"/>
  <c r="R13" i="2"/>
  <c r="S13" i="2" s="1"/>
  <c r="R14" i="2"/>
  <c r="S14" i="2" s="1"/>
  <c r="R15" i="2"/>
  <c r="S15" i="2" s="1"/>
  <c r="R16" i="2"/>
  <c r="S16" i="2" s="1"/>
  <c r="R17" i="2"/>
  <c r="S17" i="2" s="1"/>
  <c r="R18" i="2"/>
  <c r="S18" i="2" s="1"/>
  <c r="R19" i="2"/>
  <c r="S19" i="2" s="1"/>
  <c r="R20" i="2"/>
  <c r="S20" i="2" s="1"/>
  <c r="R21" i="2"/>
  <c r="S21" i="2" s="1"/>
  <c r="R22" i="2"/>
  <c r="S22" i="2" s="1"/>
  <c r="R23" i="2"/>
  <c r="S23" i="2" s="1"/>
  <c r="R24" i="2"/>
  <c r="S24" i="2" s="1"/>
  <c r="R25" i="2"/>
  <c r="S25" i="2" s="1"/>
  <c r="R26" i="2"/>
  <c r="S26" i="2" s="1"/>
  <c r="R27" i="2"/>
  <c r="S27" i="2" s="1"/>
  <c r="R28" i="2"/>
  <c r="S28" i="2" s="1"/>
  <c r="R29" i="2"/>
  <c r="S29" i="2" s="1"/>
  <c r="R30" i="2"/>
  <c r="S30" i="2" s="1"/>
  <c r="R31" i="2"/>
  <c r="S31" i="2" s="1"/>
  <c r="R32" i="2"/>
  <c r="S32" i="2" s="1"/>
  <c r="R2" i="2"/>
  <c r="S2" i="2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H35" i="2" l="1"/>
  <c r="U35" i="2" s="1"/>
  <c r="H34" i="2"/>
  <c r="U34" i="2" s="1"/>
  <c r="H33" i="2"/>
  <c r="U33" i="2" s="1"/>
  <c r="W26" i="2"/>
  <c r="W21" i="2"/>
  <c r="W7" i="2"/>
  <c r="J2" i="2"/>
  <c r="H2" i="2"/>
  <c r="U2" i="2" s="1"/>
  <c r="J32" i="2"/>
  <c r="H32" i="2"/>
  <c r="U32" i="2" s="1"/>
  <c r="J31" i="2"/>
  <c r="H31" i="2"/>
  <c r="U31" i="2" s="1"/>
  <c r="J30" i="2"/>
  <c r="H30" i="2"/>
  <c r="U30" i="2" s="1"/>
  <c r="J29" i="2"/>
  <c r="H29" i="2"/>
  <c r="U29" i="2" s="1"/>
  <c r="J28" i="2"/>
  <c r="H28" i="2"/>
  <c r="U28" i="2" s="1"/>
  <c r="J27" i="2"/>
  <c r="H27" i="2"/>
  <c r="U27" i="2" s="1"/>
  <c r="J26" i="2"/>
  <c r="H26" i="2"/>
  <c r="U26" i="2" s="1"/>
  <c r="J25" i="2"/>
  <c r="H25" i="2"/>
  <c r="U25" i="2" s="1"/>
  <c r="J24" i="2"/>
  <c r="H24" i="2"/>
  <c r="U24" i="2" s="1"/>
  <c r="J23" i="2"/>
  <c r="H23" i="2"/>
  <c r="U23" i="2" s="1"/>
  <c r="J22" i="2"/>
  <c r="H22" i="2"/>
  <c r="U22" i="2" s="1"/>
  <c r="J21" i="2"/>
  <c r="H21" i="2"/>
  <c r="U21" i="2" s="1"/>
  <c r="J20" i="2"/>
  <c r="H20" i="2"/>
  <c r="U20" i="2" s="1"/>
  <c r="J19" i="2"/>
  <c r="H19" i="2"/>
  <c r="U19" i="2" s="1"/>
  <c r="J18" i="2"/>
  <c r="H18" i="2"/>
  <c r="U18" i="2" s="1"/>
  <c r="J17" i="2"/>
  <c r="H17" i="2"/>
  <c r="U17" i="2" s="1"/>
  <c r="J16" i="2"/>
  <c r="H16" i="2"/>
  <c r="U16" i="2" s="1"/>
  <c r="J15" i="2"/>
  <c r="H15" i="2"/>
  <c r="U15" i="2" s="1"/>
  <c r="J14" i="2"/>
  <c r="H14" i="2"/>
  <c r="U14" i="2" s="1"/>
  <c r="J13" i="2"/>
  <c r="H13" i="2"/>
  <c r="U13" i="2" s="1"/>
  <c r="J12" i="2"/>
  <c r="H12" i="2"/>
  <c r="U12" i="2" s="1"/>
  <c r="J11" i="2"/>
  <c r="H11" i="2"/>
  <c r="U11" i="2" s="1"/>
  <c r="J10" i="2"/>
  <c r="H10" i="2"/>
  <c r="U10" i="2" s="1"/>
  <c r="J9" i="2"/>
  <c r="H9" i="2"/>
  <c r="U9" i="2" s="1"/>
  <c r="J8" i="2"/>
  <c r="H8" i="2"/>
  <c r="U8" i="2" s="1"/>
  <c r="J7" i="2"/>
  <c r="H7" i="2"/>
  <c r="U7" i="2" s="1"/>
  <c r="J6" i="2"/>
  <c r="H6" i="2"/>
  <c r="U6" i="2" s="1"/>
  <c r="J5" i="2"/>
  <c r="H5" i="2"/>
  <c r="U5" i="2" s="1"/>
  <c r="J4" i="2"/>
  <c r="H4" i="2"/>
  <c r="U4" i="2" s="1"/>
  <c r="J3" i="2"/>
  <c r="H3" i="2"/>
  <c r="U3" i="2" s="1"/>
</calcChain>
</file>

<file path=xl/sharedStrings.xml><?xml version="1.0" encoding="utf-8"?>
<sst xmlns="http://schemas.openxmlformats.org/spreadsheetml/2006/main" count="642" uniqueCount="231">
  <si>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</si>
  <si>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</si>
  <si>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</si>
  <si>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</si>
  <si>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</si>
  <si>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</si>
  <si>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</si>
  <si>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</si>
  <si>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</si>
  <si>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</si>
  <si>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</si>
  <si>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</si>
  <si>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</si>
  <si>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</si>
  <si>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</si>
  <si>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</si>
  <si>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</si>
  <si>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</si>
  <si>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</si>
  <si>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</si>
  <si>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</si>
  <si>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</si>
  <si>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</si>
  <si>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</si>
  <si>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</si>
  <si>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Price(Missing Handle)</t>
  </si>
  <si>
    <t>MFG DATE</t>
  </si>
  <si>
    <t>Product</t>
  </si>
  <si>
    <t>COUNTRY CODE</t>
  </si>
  <si>
    <t>Merge</t>
  </si>
  <si>
    <t>28-JAN-US</t>
  </si>
  <si>
    <t>laptop</t>
  </si>
  <si>
    <t>Dell</t>
  </si>
  <si>
    <t>Electronics</t>
  </si>
  <si>
    <t>JAN</t>
  </si>
  <si>
    <t>US</t>
  </si>
  <si>
    <t>15-FEB-US</t>
  </si>
  <si>
    <t>Sneakers</t>
  </si>
  <si>
    <t>Nike</t>
  </si>
  <si>
    <t>Fashion</t>
  </si>
  <si>
    <t>FEB</t>
  </si>
  <si>
    <t>03-MAR-US</t>
  </si>
  <si>
    <t>Coffee Maker</t>
  </si>
  <si>
    <t>Keurig</t>
  </si>
  <si>
    <t>Kitchen</t>
  </si>
  <si>
    <t>MAR</t>
  </si>
  <si>
    <t>11-APR-US</t>
  </si>
  <si>
    <t>smartphone</t>
  </si>
  <si>
    <t>Samsung</t>
  </si>
  <si>
    <t>APR</t>
  </si>
  <si>
    <t>22-MAY-US</t>
  </si>
  <si>
    <t>Backpack</t>
  </si>
  <si>
    <t>North Face</t>
  </si>
  <si>
    <t>Accessories</t>
  </si>
  <si>
    <t>MAY</t>
  </si>
  <si>
    <t>07-JUN-UK</t>
  </si>
  <si>
    <t>Headphones</t>
  </si>
  <si>
    <t>Sony</t>
  </si>
  <si>
    <t>Electroni</t>
  </si>
  <si>
    <t>JUN</t>
  </si>
  <si>
    <t>UK</t>
  </si>
  <si>
    <t>19-JUL-UK</t>
  </si>
  <si>
    <t>T-shirt</t>
  </si>
  <si>
    <t>Adidas</t>
  </si>
  <si>
    <t>JUL</t>
  </si>
  <si>
    <t>23-AUG-UK</t>
  </si>
  <si>
    <t>Blender</t>
  </si>
  <si>
    <t>Ninja</t>
  </si>
  <si>
    <t>AUG</t>
  </si>
  <si>
    <t>05-SEP-UK</t>
  </si>
  <si>
    <t>Tablet</t>
  </si>
  <si>
    <t>Apple</t>
  </si>
  <si>
    <t>SEP</t>
  </si>
  <si>
    <t>14-OCT-UK</t>
  </si>
  <si>
    <t>Hiking Boots</t>
  </si>
  <si>
    <t>Timberland</t>
  </si>
  <si>
    <t>Outdoor</t>
  </si>
  <si>
    <t>OCT</t>
  </si>
  <si>
    <t>17-JUN-IN</t>
  </si>
  <si>
    <t>Laptop</t>
  </si>
  <si>
    <t>HP</t>
  </si>
  <si>
    <t>IN</t>
  </si>
  <si>
    <t>25-NOV-AU</t>
  </si>
  <si>
    <t>NOV</t>
  </si>
  <si>
    <t>AU</t>
  </si>
  <si>
    <t>08-DEC-DE</t>
  </si>
  <si>
    <t>Nespresso</t>
  </si>
  <si>
    <t>DEC</t>
  </si>
  <si>
    <t>DE</t>
  </si>
  <si>
    <t>18-FEB-CA</t>
  </si>
  <si>
    <t>Smartwatch</t>
  </si>
  <si>
    <t>Fitbit</t>
  </si>
  <si>
    <t>CA</t>
  </si>
  <si>
    <t>16-APR-ES</t>
  </si>
  <si>
    <t>headphones</t>
  </si>
  <si>
    <t>Bose</t>
  </si>
  <si>
    <t>ES</t>
  </si>
  <si>
    <t>21-AUG-CA</t>
  </si>
  <si>
    <t>Laptop Bag</t>
  </si>
  <si>
    <t>Samsonite</t>
  </si>
  <si>
    <t>20-AUG-CN</t>
  </si>
  <si>
    <t>Huawei</t>
  </si>
  <si>
    <t>CN</t>
  </si>
  <si>
    <t>27-JAN-IT</t>
  </si>
  <si>
    <t>Asus</t>
  </si>
  <si>
    <t>IT</t>
  </si>
  <si>
    <t>01-MAR-UK</t>
  </si>
  <si>
    <t>Sunglasses</t>
  </si>
  <si>
    <t>Oakley</t>
  </si>
  <si>
    <t>14-AUG-US</t>
  </si>
  <si>
    <t>Camping Tent</t>
  </si>
  <si>
    <t>Coleman</t>
  </si>
  <si>
    <t>Category basis</t>
  </si>
  <si>
    <t>14-MAY-RU</t>
  </si>
  <si>
    <t>Camera</t>
  </si>
  <si>
    <t>Nikon</t>
  </si>
  <si>
    <t>RU</t>
  </si>
  <si>
    <t>09-JAN-CA</t>
  </si>
  <si>
    <t>Microwave</t>
  </si>
  <si>
    <t>Panasonic</t>
  </si>
  <si>
    <t>19-JUL-BR</t>
  </si>
  <si>
    <t>Fitness Tracker</t>
  </si>
  <si>
    <t>Xiaomi</t>
  </si>
  <si>
    <t>BR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</si>
  <si>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</si>
  <si>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</si>
  <si>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</si>
  <si>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</si>
  <si>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</si>
  <si>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</si>
  <si>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</si>
  <si>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</si>
  <si>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</si>
  <si>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</si>
  <si>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</si>
  <si>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</si>
  <si>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</si>
  <si>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</si>
  <si>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</si>
  <si>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</si>
  <si>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</si>
  <si>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</si>
  <si>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</si>
  <si>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</si>
  <si>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</si>
  <si>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FR</t>
  </si>
  <si>
    <t>Product Brand</t>
  </si>
  <si>
    <t>Price</t>
  </si>
  <si>
    <t>Mfg. DATE</t>
  </si>
  <si>
    <t>Country Code</t>
  </si>
  <si>
    <t>DD-MM-YY</t>
  </si>
  <si>
    <t>Dell Laptop</t>
  </si>
  <si>
    <t>28-JAN</t>
  </si>
  <si>
    <t>Nike Sneakers</t>
  </si>
  <si>
    <t>15-FEB</t>
  </si>
  <si>
    <t>RESULTS:</t>
  </si>
  <si>
    <t>Keurig Coffee Maker</t>
  </si>
  <si>
    <t>3-MAR</t>
  </si>
  <si>
    <t>I)</t>
  </si>
  <si>
    <t>Missing Price values were filled by Product wise and category wise average.</t>
  </si>
  <si>
    <t>Samsung Smartphone</t>
  </si>
  <si>
    <t>11-APR</t>
  </si>
  <si>
    <t>II)</t>
  </si>
  <si>
    <t>In the Product with Category had 3 missing values . That are filled with the corresponding product names.</t>
  </si>
  <si>
    <t>North Face Backpack</t>
  </si>
  <si>
    <t>22-MAY</t>
  </si>
  <si>
    <t>Products Name had some text format missing like small letter, capital letter. So I used to clear that by using PROPER and TRIM functions.</t>
  </si>
  <si>
    <t>Sony Headphones</t>
  </si>
  <si>
    <t>7-JUN</t>
  </si>
  <si>
    <t>In category column Typos were corrected by using Find and Replace. ex: Electroni  into Electronics</t>
  </si>
  <si>
    <t>T-Shirt</t>
  </si>
  <si>
    <t>Adidas T-Shirt</t>
  </si>
  <si>
    <t>19-JUL</t>
  </si>
  <si>
    <t>III)</t>
  </si>
  <si>
    <t>Corrected the Product Name and Category columns.</t>
  </si>
  <si>
    <t>Ninja Blender</t>
  </si>
  <si>
    <t>23-AUG</t>
  </si>
  <si>
    <t>Duplicate records were Identified and removed.</t>
  </si>
  <si>
    <t>Apple Tablet</t>
  </si>
  <si>
    <t>5-SEP</t>
  </si>
  <si>
    <t>Product ID column was splitted into two columns as Manufacturing Date and Country Code.</t>
  </si>
  <si>
    <t>Timberland Hiking Boots</t>
  </si>
  <si>
    <t>14-OCT</t>
  </si>
  <si>
    <t>Joined the Brand and Product name column as Product Brand.</t>
  </si>
  <si>
    <t>Hp Laptop</t>
  </si>
  <si>
    <t>17-JUN</t>
  </si>
  <si>
    <t>Price column Formated as Currency Format.</t>
  </si>
  <si>
    <t>Adidas Sneakers</t>
  </si>
  <si>
    <t>25-NOV</t>
  </si>
  <si>
    <t>Formating the Manufacturing Date column as DD-MM-YY format.</t>
  </si>
  <si>
    <t>Nespresso Coffee Maker</t>
  </si>
  <si>
    <t>8-DEC</t>
  </si>
  <si>
    <t>Applied Databars in Price column.</t>
  </si>
  <si>
    <t>Fitbit Smartwatch</t>
  </si>
  <si>
    <t>18-FEB</t>
  </si>
  <si>
    <t>In Category column , Electronics were highlighted.</t>
  </si>
  <si>
    <t>Bose Headphones</t>
  </si>
  <si>
    <t>16-APR</t>
  </si>
  <si>
    <t>Samsonite Laptop Bag</t>
  </si>
  <si>
    <t>21-AUG</t>
  </si>
  <si>
    <t>Huawei Smartwatch</t>
  </si>
  <si>
    <t>20-AUG</t>
  </si>
  <si>
    <t>Asus Laptop</t>
  </si>
  <si>
    <t>27-JAN</t>
  </si>
  <si>
    <t>Oakley Sunglasses</t>
  </si>
  <si>
    <t>1-MAR</t>
  </si>
  <si>
    <t>Coleman Camping Tent</t>
  </si>
  <si>
    <t>14-AUG</t>
  </si>
  <si>
    <t>Nikon Camera</t>
  </si>
  <si>
    <t>14-MAY</t>
  </si>
  <si>
    <t>Panasonic Microwave</t>
  </si>
  <si>
    <t>9-JAN</t>
  </si>
  <si>
    <t>Xiaomi Fitness Tracker</t>
  </si>
  <si>
    <t>Google Smartphone</t>
  </si>
  <si>
    <t>29-SEP</t>
  </si>
  <si>
    <t>Ray-Ban Sunglasses</t>
  </si>
  <si>
    <t>3-JUN</t>
  </si>
  <si>
    <t>Vitamix Blender</t>
  </si>
  <si>
    <t>11-JUL</t>
  </si>
  <si>
    <t>Zara Dress</t>
  </si>
  <si>
    <t>7-MAR</t>
  </si>
  <si>
    <t>Hamilton Toaster</t>
  </si>
  <si>
    <t>13-APR</t>
  </si>
  <si>
    <t>Garmin Fitness Tracker</t>
  </si>
  <si>
    <t>24-MAY</t>
  </si>
  <si>
    <t>Levi'S Jeans</t>
  </si>
  <si>
    <t>2-DEC</t>
  </si>
  <si>
    <t>Casio Watch</t>
  </si>
  <si>
    <t>9-JUL</t>
  </si>
  <si>
    <t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</si>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</sst>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yyyy\-mm\-dd;@"/>
    <numFmt numFmtId="166" formatCode="[$-409]d\-mmm\-yy;@"/>
  </numFmts>
  <fonts count="13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1"/>
      <color rgb="FF000000"/>
      <name val="Arial"/>
      <family val="2"/>
      <scheme val="minor"/>
    </font>
    <font>
      <b/>
      <sz val="12"/>
      <color theme="1"/>
      <name val="Arial (Body)"/>
    </font>
    <font>
      <sz val="12"/>
      <color rgb="FF000000"/>
      <name val="Arial (Body)"/>
    </font>
    <font>
      <sz val="12"/>
      <color theme="1"/>
      <name val="Arial (Body)"/>
    </font>
    <font>
      <b/>
      <sz val="12"/>
      <color rgb="FF000000"/>
      <name val="Arial (Body)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4" fontId="0" fillId="0" borderId="0" xfId="0" applyNumberFormat="1"/>
    <xf numFmtId="164" fontId="5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7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5" fillId="4" borderId="0" xfId="0" applyFont="1" applyFill="1"/>
    <xf numFmtId="0" fontId="0" fillId="4" borderId="0" xfId="0" applyFill="1"/>
    <xf numFmtId="165" fontId="5" fillId="0" borderId="0" xfId="0" applyNumberFormat="1" applyFont="1"/>
    <xf numFmtId="166" fontId="5" fillId="4" borderId="0" xfId="0" applyNumberFormat="1" applyFont="1" applyFill="1"/>
    <xf numFmtId="166" fontId="5" fillId="0" borderId="0" xfId="0" applyNumberFormat="1" applyFont="1" applyAlignment="1">
      <alignment wrapText="1"/>
    </xf>
    <xf numFmtId="166" fontId="0" fillId="0" borderId="0" xfId="0" applyNumberFormat="1"/>
    <xf numFmtId="166" fontId="8" fillId="0" borderId="0" xfId="0" applyNumberFormat="1" applyFont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wrapText="1"/>
    </xf>
    <xf numFmtId="164" fontId="9" fillId="2" borderId="0" xfId="0" applyNumberFormat="1" applyFont="1" applyFill="1" applyAlignment="1">
      <alignment horizontal="center" wrapText="1"/>
    </xf>
    <xf numFmtId="166" fontId="9" fillId="2" borderId="0" xfId="0" applyNumberFormat="1" applyFont="1" applyFill="1" applyAlignment="1">
      <alignment horizontal="center" wrapText="1"/>
    </xf>
    <xf numFmtId="0" fontId="10" fillId="0" borderId="0" xfId="0" applyFont="1"/>
    <xf numFmtId="0" fontId="11" fillId="0" borderId="0" xfId="0" applyFont="1" applyAlignment="1">
      <alignment horizontal="center"/>
    </xf>
    <xf numFmtId="0" fontId="11" fillId="3" borderId="0" xfId="0" applyFont="1" applyFill="1" applyAlignment="1">
      <alignment horizontal="center"/>
    </xf>
    <xf numFmtId="164" fontId="11" fillId="3" borderId="0" xfId="0" applyNumberFormat="1" applyFont="1" applyFill="1" applyAlignment="1">
      <alignment horizontal="center"/>
    </xf>
    <xf numFmtId="166" fontId="11" fillId="3" borderId="0" xfId="0" applyNumberFormat="1" applyFont="1" applyFill="1" applyAlignment="1">
      <alignment horizontal="center"/>
    </xf>
    <xf numFmtId="164" fontId="11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5" borderId="1" xfId="0" applyFont="1" applyFill="1" applyBorder="1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(Body)"/>
        <scheme val="none"/>
      </font>
      <numFmt numFmtId="166" formatCode="[$-409]d\-mmm\-yy;@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(Body)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(Body)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(Body)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(Body)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(Body)"/>
        <scheme val="none"/>
      </font>
      <numFmt numFmtId="164" formatCode="&quot;$&quot;#,##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(Body)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(Body)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(Body)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(Body)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(Body)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6CCA50-66B9-44E3-829B-80884082653D}" name="Table1" displayName="Table1" ref="A1:I32" totalsRowShown="0" headerRowDxfId="10" dataDxfId="9">
  <autoFilter ref="A1:I32" xr:uid="{E16CCA50-66B9-44E3-829B-80884082653D}"/>
  <tableColumns count="9">
    <tableColumn id="1" xr3:uid="{88622E0A-6F55-4A64-9F7E-A6B15C920E8C}" name="Product ID" dataDxfId="8"/>
    <tableColumn id="2" xr3:uid="{9E4F9509-BE4F-4AFC-8F99-0F041A67DBBC}" name="Product Name" dataDxfId="7"/>
    <tableColumn id="3" xr3:uid="{D1B95029-4B1B-4237-A757-0F32E6494205}" name="Product Brand" dataDxfId="6"/>
    <tableColumn id="4" xr3:uid="{FF164069-9B09-45E1-918A-546C31290FE7}" name="Price" dataDxfId="5"/>
    <tableColumn id="5" xr3:uid="{003FD081-02E8-4881-ADEE-E29A615D1FC5}" name="Quantity" dataDxfId="4"/>
    <tableColumn id="6" xr3:uid="{8DF275CA-D1DD-45FC-84DF-4FCA22C0BDE0}" name="Category" dataDxfId="3"/>
    <tableColumn id="7" xr3:uid="{F7F5DBEC-6EFC-4897-99AA-F0E1A918DCCB}" name="Mfg. DATE" dataDxfId="2"/>
    <tableColumn id="8" xr3:uid="{C2CF0474-3F6D-480C-AE33-96AF7B7A830A}" name="Country Code" dataDxfId="1"/>
    <tableColumn id="9" xr3:uid="{270E3C7A-4E7C-4798-82A5-6BAA9213EF34}" name="DD-MM-YY" dataDxfId="0"/>
  </tableColumns>
  <tableStyleInfo name="TableStyleLight21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H6" sqref="H6"/>
    </sheetView>
  </sheetViews>
  <sheetFormatPr defaultColWidth="12.42578125" defaultRowHeight="15" customHeight="1"/>
  <cols>
    <col min="1" max="1" width="12.42578125" customWidth="1"/>
    <col min="2" max="2" width="7.42578125" customWidth="1"/>
    <col min="3" max="6" width="12.42578125" customWidth="1"/>
  </cols>
  <sheetData>
    <row r="1" spans="1:11" ht="15.75" customHeight="1">
      <c r="A1" s="1" t="s">
        <v>0</v>
      </c>
    </row>
    <row r="2" spans="1:11" ht="15.75" customHeight="1"/>
    <row r="3" spans="1:11" ht="15.75" customHeight="1">
      <c r="B3" s="2" t="s">
        <v>1</v>
      </c>
    </row>
    <row r="4" spans="1:11" ht="15.75" customHeight="1">
      <c r="C4" s="3" t="s">
        <v>2</v>
      </c>
    </row>
    <row r="5" spans="1:11" ht="15.75" customHeight="1">
      <c r="B5" s="4"/>
      <c r="C5" s="3" t="s">
        <v>3</v>
      </c>
    </row>
    <row r="6" spans="1:11" ht="15.75" customHeight="1">
      <c r="B6" s="4"/>
    </row>
    <row r="7" spans="1:11" ht="15.75" customHeight="1">
      <c r="B7" s="2" t="s">
        <v>4</v>
      </c>
    </row>
    <row r="8" spans="1:11" ht="15.75" customHeight="1">
      <c r="C8" s="3" t="s">
        <v>5</v>
      </c>
    </row>
    <row r="9" spans="1:11" ht="15.75" customHeight="1">
      <c r="C9" s="3" t="s">
        <v>6</v>
      </c>
    </row>
    <row r="10" spans="1:11" ht="15.75" customHeight="1">
      <c r="C10" s="3" t="s">
        <v>7</v>
      </c>
    </row>
    <row r="11" spans="1:11" ht="15.75" customHeight="1">
      <c r="B11" s="4"/>
    </row>
    <row r="12" spans="1:11" ht="15.75" customHeight="1">
      <c r="B12" s="2" t="s">
        <v>8</v>
      </c>
    </row>
    <row r="13" spans="1:11" ht="15.75" customHeight="1">
      <c r="B13" s="2"/>
      <c r="C13" s="3" t="s">
        <v>9</v>
      </c>
    </row>
    <row r="14" spans="1:11" ht="15.75" customHeight="1"/>
    <row r="15" spans="1:11" ht="15.75" customHeight="1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opLeftCell="K1" workbookViewId="0">
      <selection activeCell="Y21" sqref="Y21"/>
    </sheetView>
  </sheetViews>
  <sheetFormatPr defaultColWidth="12.42578125" defaultRowHeight="15" customHeight="1"/>
  <cols>
    <col min="1" max="1" width="12.42578125" customWidth="1"/>
    <col min="2" max="2" width="15.7109375" customWidth="1"/>
    <col min="3" max="3" width="14.140625" customWidth="1"/>
    <col min="4" max="4" width="10.42578125" customWidth="1"/>
    <col min="5" max="5" width="10.7109375" customWidth="1"/>
    <col min="6" max="6" width="11.140625" customWidth="1"/>
    <col min="7" max="8" width="13.7109375" customWidth="1"/>
    <col min="9" max="9" width="14.140625" customWidth="1"/>
    <col min="10" max="10" width="6.7109375" customWidth="1"/>
    <col min="11" max="11" width="7.42578125" customWidth="1"/>
    <col min="12" max="12" width="26.7109375" style="11" customWidth="1"/>
    <col min="13" max="13" width="10.7109375" customWidth="1"/>
    <col min="14" max="14" width="16" customWidth="1"/>
    <col min="15" max="15" width="10.85546875" customWidth="1"/>
    <col min="16" max="16" width="4" customWidth="1"/>
    <col min="17" max="17" width="9.42578125" customWidth="1"/>
    <col min="18" max="18" width="7.42578125" customWidth="1"/>
    <col min="19" max="19" width="17.28515625" style="21" customWidth="1"/>
    <col min="20" max="20" width="6.85546875" customWidth="1"/>
    <col min="21" max="21" width="7.42578125" customWidth="1"/>
    <col min="22" max="22" width="15.85546875" customWidth="1"/>
    <col min="25" max="25" width="13.28515625" bestFit="1" customWidth="1"/>
  </cols>
  <sheetData>
    <row r="1" spans="1:23" ht="15.75" customHeight="1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15"/>
      <c r="H1" s="15"/>
      <c r="I1" s="7" t="s">
        <v>21</v>
      </c>
      <c r="J1" s="17"/>
      <c r="K1" s="17" t="s">
        <v>22</v>
      </c>
      <c r="L1" s="14" t="s">
        <v>25</v>
      </c>
      <c r="M1" s="7" t="s">
        <v>23</v>
      </c>
      <c r="N1" s="7" t="s">
        <v>24</v>
      </c>
      <c r="O1" s="15"/>
      <c r="P1" s="15" t="s">
        <v>26</v>
      </c>
      <c r="Q1" s="16" t="s">
        <v>27</v>
      </c>
      <c r="R1" s="16"/>
      <c r="S1" s="19"/>
      <c r="T1" s="15" t="s">
        <v>28</v>
      </c>
      <c r="U1" s="15" t="s">
        <v>29</v>
      </c>
    </row>
    <row r="2" spans="1:23" ht="15.75" customHeight="1">
      <c r="A2" s="5" t="s">
        <v>30</v>
      </c>
      <c r="B2" s="5" t="s">
        <v>31</v>
      </c>
      <c r="C2" s="5" t="s">
        <v>32</v>
      </c>
      <c r="D2" s="5">
        <v>1000</v>
      </c>
      <c r="E2" s="5">
        <v>30</v>
      </c>
      <c r="F2" s="5" t="s">
        <v>33</v>
      </c>
      <c r="G2" s="5" t="str">
        <f>PROPER(B2)</f>
        <v>Laptop</v>
      </c>
      <c r="H2" s="5" t="str">
        <f>TRIM(G2)</f>
        <v>Laptop</v>
      </c>
      <c r="I2" s="5" t="s">
        <v>32</v>
      </c>
      <c r="J2" t="b">
        <f t="shared" ref="J2:J32" si="0">ISBLANK(G2)</f>
        <v>0</v>
      </c>
      <c r="K2">
        <v>1000</v>
      </c>
      <c r="L2" s="10">
        <f>IF(ISBLANK(D2),MEDIAN($D$2:$D$32),D2)</f>
        <v>1000</v>
      </c>
      <c r="M2" s="5">
        <v>30</v>
      </c>
      <c r="N2" s="5" t="s">
        <v>33</v>
      </c>
      <c r="O2" s="5" t="str">
        <f>IF(N2="","Electronics",N2)</f>
        <v>Electronics</v>
      </c>
      <c r="P2" s="5">
        <v>28</v>
      </c>
      <c r="Q2" s="5" t="s">
        <v>34</v>
      </c>
      <c r="R2" s="5" t="str">
        <f>CONCATENATE(P2,"-",Q2)</f>
        <v>28-JAN</v>
      </c>
      <c r="S2" s="20">
        <f>DATE(2025,MONTH(R2),DAY(R2))</f>
        <v>45685</v>
      </c>
      <c r="T2" s="5" t="s">
        <v>35</v>
      </c>
      <c r="U2" s="5" t="str">
        <f>PROPER(CONCATENATE(I2," ",H2))</f>
        <v>Dell Laptop</v>
      </c>
      <c r="W2">
        <f>IFERROR(IF(K2="",AVERAGEIF($G$2:$G$32,G2,$K$2:$K$32),K2),"NA")</f>
        <v>1000</v>
      </c>
    </row>
    <row r="3" spans="1:23" ht="15.75" customHeight="1">
      <c r="A3" s="8" t="s">
        <v>36</v>
      </c>
      <c r="B3" s="8" t="s">
        <v>37</v>
      </c>
      <c r="C3" s="8" t="s">
        <v>38</v>
      </c>
      <c r="D3" s="8">
        <v>80</v>
      </c>
      <c r="E3" s="8">
        <v>15</v>
      </c>
      <c r="F3" s="8" t="s">
        <v>39</v>
      </c>
      <c r="G3" s="5" t="str">
        <f t="shared" ref="G3:G35" si="1">PROPER(B3)</f>
        <v>Sneakers</v>
      </c>
      <c r="H3" s="5" t="str">
        <f t="shared" ref="H3:H35" si="2">TRIM(G3)</f>
        <v>Sneakers</v>
      </c>
      <c r="I3" s="8" t="s">
        <v>38</v>
      </c>
      <c r="J3" t="b">
        <f t="shared" si="0"/>
        <v>0</v>
      </c>
      <c r="K3">
        <v>80</v>
      </c>
      <c r="L3" s="10">
        <f t="shared" ref="L3:L10" si="3">IF(ISBLANK(D3),MEDIAN($D$2:$D$32),D3)</f>
        <v>80</v>
      </c>
      <c r="M3" s="8">
        <v>15</v>
      </c>
      <c r="N3" s="8" t="s">
        <v>39</v>
      </c>
      <c r="O3" s="5" t="str">
        <f t="shared" ref="O3:O32" si="4">IF(N3="","Electronics",N3)</f>
        <v>Fashion</v>
      </c>
      <c r="P3" s="5">
        <v>15</v>
      </c>
      <c r="Q3" s="5" t="s">
        <v>40</v>
      </c>
      <c r="R3" s="5" t="str">
        <f>CONCATENATE(P3,"-",Q3)</f>
        <v>15-FEB</v>
      </c>
      <c r="S3" s="20">
        <f t="shared" ref="S3:S32" si="5">DATE(2025,MONTH(R3),DAY(R3))</f>
        <v>45703</v>
      </c>
      <c r="T3" s="5" t="s">
        <v>35</v>
      </c>
      <c r="U3" s="5" t="str">
        <f t="shared" ref="U3:U35" si="6">PROPER(CONCATENATE(I3," ",H3))</f>
        <v>Nike Sneakers</v>
      </c>
      <c r="V3" s="5"/>
      <c r="W3">
        <f>IFERROR(IF(K3="",AVERAGEIF($G$2:$G$32,G3,$K$2:$K$32),K3),"NA")</f>
        <v>80</v>
      </c>
    </row>
    <row r="4" spans="1:23" ht="15.75" customHeight="1">
      <c r="A4" s="5" t="s">
        <v>41</v>
      </c>
      <c r="B4" s="5" t="s">
        <v>42</v>
      </c>
      <c r="C4" s="5" t="s">
        <v>43</v>
      </c>
      <c r="D4" s="5">
        <v>130</v>
      </c>
      <c r="E4" s="5">
        <v>40</v>
      </c>
      <c r="F4" s="5" t="s">
        <v>44</v>
      </c>
      <c r="G4" s="5" t="str">
        <f t="shared" si="1"/>
        <v>Coffee Maker</v>
      </c>
      <c r="H4" s="5" t="str">
        <f t="shared" si="2"/>
        <v>Coffee Maker</v>
      </c>
      <c r="I4" s="5" t="s">
        <v>43</v>
      </c>
      <c r="J4" t="b">
        <f t="shared" si="0"/>
        <v>0</v>
      </c>
      <c r="K4">
        <v>130</v>
      </c>
      <c r="L4" s="10">
        <f t="shared" si="3"/>
        <v>130</v>
      </c>
      <c r="M4" s="5">
        <v>40</v>
      </c>
      <c r="N4" s="5" t="s">
        <v>44</v>
      </c>
      <c r="O4" s="5" t="str">
        <f t="shared" si="4"/>
        <v>Kitchen</v>
      </c>
      <c r="P4" s="5">
        <v>3</v>
      </c>
      <c r="Q4" s="5" t="s">
        <v>45</v>
      </c>
      <c r="R4" s="5" t="str">
        <f t="shared" ref="R4:R32" si="7">CONCATENATE(P4,"-",Q4)</f>
        <v>3-MAR</v>
      </c>
      <c r="S4" s="20">
        <f t="shared" si="5"/>
        <v>45719</v>
      </c>
      <c r="T4" s="5" t="s">
        <v>35</v>
      </c>
      <c r="U4" s="5" t="str">
        <f t="shared" si="6"/>
        <v>Keurig Coffee Maker</v>
      </c>
      <c r="V4" s="5"/>
      <c r="W4">
        <f>IFERROR(IF(K4="",AVERAGEIF($G$2:$G$32,G4,$K$2:$K$32),K4),"NA")</f>
        <v>130</v>
      </c>
    </row>
    <row r="5" spans="1:23" ht="15.75" customHeight="1">
      <c r="A5" s="8" t="s">
        <v>46</v>
      </c>
      <c r="B5" s="8" t="s">
        <v>47</v>
      </c>
      <c r="C5" s="8" t="s">
        <v>48</v>
      </c>
      <c r="D5" s="8">
        <v>900</v>
      </c>
      <c r="E5" s="8">
        <v>25</v>
      </c>
      <c r="F5" s="8" t="s">
        <v>33</v>
      </c>
      <c r="G5" s="5" t="str">
        <f t="shared" si="1"/>
        <v>Smartphone</v>
      </c>
      <c r="H5" s="5" t="str">
        <f t="shared" si="2"/>
        <v>Smartphone</v>
      </c>
      <c r="I5" s="8" t="s">
        <v>48</v>
      </c>
      <c r="J5" t="b">
        <f t="shared" si="0"/>
        <v>0</v>
      </c>
      <c r="K5">
        <v>900</v>
      </c>
      <c r="L5" s="10">
        <f t="shared" si="3"/>
        <v>900</v>
      </c>
      <c r="M5" s="8">
        <v>25</v>
      </c>
      <c r="N5" s="8" t="s">
        <v>33</v>
      </c>
      <c r="O5" s="5" t="str">
        <f t="shared" si="4"/>
        <v>Electronics</v>
      </c>
      <c r="P5" s="5">
        <v>11</v>
      </c>
      <c r="Q5" s="5" t="s">
        <v>49</v>
      </c>
      <c r="R5" s="5" t="str">
        <f t="shared" si="7"/>
        <v>11-APR</v>
      </c>
      <c r="S5" s="20">
        <f t="shared" si="5"/>
        <v>45758</v>
      </c>
      <c r="T5" s="5" t="s">
        <v>35</v>
      </c>
      <c r="U5" s="5" t="str">
        <f t="shared" si="6"/>
        <v>Samsung Smartphone</v>
      </c>
      <c r="V5" s="5"/>
      <c r="W5">
        <f>IFERROR(IF(K5="",AVERAGEIF($G$2:$G$32,G5,$K$2:$K$32),K5),"NA")</f>
        <v>900</v>
      </c>
    </row>
    <row r="6" spans="1:23" ht="15.75" customHeight="1">
      <c r="A6" s="5" t="s">
        <v>50</v>
      </c>
      <c r="B6" s="5" t="s">
        <v>51</v>
      </c>
      <c r="C6" s="5" t="s">
        <v>52</v>
      </c>
      <c r="D6" s="5">
        <v>70</v>
      </c>
      <c r="E6" s="5">
        <v>20</v>
      </c>
      <c r="F6" s="5"/>
      <c r="G6" s="5" t="str">
        <f t="shared" si="1"/>
        <v>Backpack</v>
      </c>
      <c r="H6" s="5" t="str">
        <f t="shared" si="2"/>
        <v>Backpack</v>
      </c>
      <c r="I6" s="5" t="s">
        <v>52</v>
      </c>
      <c r="J6" t="b">
        <f t="shared" si="0"/>
        <v>0</v>
      </c>
      <c r="K6">
        <v>70</v>
      </c>
      <c r="L6" s="10">
        <f t="shared" si="3"/>
        <v>70</v>
      </c>
      <c r="M6" s="5">
        <v>20</v>
      </c>
      <c r="N6" s="5"/>
      <c r="O6" s="5" t="s">
        <v>53</v>
      </c>
      <c r="P6" s="5">
        <v>22</v>
      </c>
      <c r="Q6" s="5" t="s">
        <v>54</v>
      </c>
      <c r="R6" s="5" t="str">
        <f t="shared" si="7"/>
        <v>22-MAY</v>
      </c>
      <c r="S6" s="20">
        <f t="shared" si="5"/>
        <v>45799</v>
      </c>
      <c r="T6" s="5" t="s">
        <v>35</v>
      </c>
      <c r="U6" s="5" t="str">
        <f t="shared" si="6"/>
        <v>North Face Backpack</v>
      </c>
      <c r="W6">
        <f>IFERROR(IF(K6="",AVERAGEIF($G$2:$G$32,G6,$K$2:$K$32),K6),"NA")</f>
        <v>70</v>
      </c>
    </row>
    <row r="7" spans="1:23" ht="15.75" customHeight="1">
      <c r="A7" s="8" t="s">
        <v>55</v>
      </c>
      <c r="B7" s="8" t="s">
        <v>56</v>
      </c>
      <c r="C7" s="8" t="s">
        <v>57</v>
      </c>
      <c r="D7" s="8"/>
      <c r="E7" s="8">
        <v>45</v>
      </c>
      <c r="F7" s="8" t="s">
        <v>58</v>
      </c>
      <c r="G7" s="5" t="str">
        <f t="shared" si="1"/>
        <v>Headphones</v>
      </c>
      <c r="H7" s="5" t="str">
        <f t="shared" si="2"/>
        <v>Headphones</v>
      </c>
      <c r="I7" s="8" t="s">
        <v>57</v>
      </c>
      <c r="J7" t="b">
        <f t="shared" si="0"/>
        <v>0</v>
      </c>
      <c r="L7" s="10">
        <f>IF(ISBLANK(D7),MEDIAN($D$2:$D$32),D7)</f>
        <v>130</v>
      </c>
      <c r="M7" s="8">
        <v>45</v>
      </c>
      <c r="N7" s="8" t="s">
        <v>33</v>
      </c>
      <c r="O7" s="5" t="str">
        <f t="shared" si="4"/>
        <v>Electronics</v>
      </c>
      <c r="P7" s="5">
        <v>7</v>
      </c>
      <c r="Q7" s="5" t="s">
        <v>59</v>
      </c>
      <c r="R7" s="5" t="str">
        <f t="shared" si="7"/>
        <v>7-JUN</v>
      </c>
      <c r="S7" s="20">
        <f t="shared" si="5"/>
        <v>45815</v>
      </c>
      <c r="T7" s="5" t="s">
        <v>60</v>
      </c>
      <c r="U7" s="5" t="str">
        <f t="shared" si="6"/>
        <v>Sony Headphones</v>
      </c>
      <c r="W7">
        <f>IFERROR(IF(K7="",AVERAGEIF($G$2:$G$32,G7,$K$2:$K$32),K7),"NA")</f>
        <v>250</v>
      </c>
    </row>
    <row r="8" spans="1:23" ht="15.75" customHeight="1">
      <c r="A8" s="5" t="s">
        <v>61</v>
      </c>
      <c r="B8" s="5" t="s">
        <v>62</v>
      </c>
      <c r="C8" s="5" t="s">
        <v>63</v>
      </c>
      <c r="D8" s="5">
        <v>30</v>
      </c>
      <c r="E8" s="5">
        <v>5</v>
      </c>
      <c r="F8" s="5" t="s">
        <v>39</v>
      </c>
      <c r="G8" s="5" t="str">
        <f t="shared" si="1"/>
        <v>T-Shirt</v>
      </c>
      <c r="H8" s="5" t="str">
        <f t="shared" si="2"/>
        <v>T-Shirt</v>
      </c>
      <c r="I8" s="5" t="s">
        <v>63</v>
      </c>
      <c r="J8" t="b">
        <f t="shared" si="0"/>
        <v>0</v>
      </c>
      <c r="K8">
        <v>30</v>
      </c>
      <c r="L8" s="10">
        <f t="shared" si="3"/>
        <v>30</v>
      </c>
      <c r="M8" s="5">
        <v>5</v>
      </c>
      <c r="N8" s="5" t="s">
        <v>39</v>
      </c>
      <c r="O8" s="5" t="str">
        <f t="shared" si="4"/>
        <v>Fashion</v>
      </c>
      <c r="P8" s="5">
        <v>19</v>
      </c>
      <c r="Q8" s="5" t="s">
        <v>64</v>
      </c>
      <c r="R8" s="5" t="str">
        <f t="shared" si="7"/>
        <v>19-JUL</v>
      </c>
      <c r="S8" s="20">
        <f t="shared" si="5"/>
        <v>45857</v>
      </c>
      <c r="T8" s="5" t="s">
        <v>60</v>
      </c>
      <c r="U8" s="5" t="str">
        <f t="shared" si="6"/>
        <v>Adidas T-Shirt</v>
      </c>
      <c r="W8">
        <f>IFERROR(IF(K8="",AVERAGEIF($G$2:$G$32,G8,$K$2:$K$32),K8),"NA")</f>
        <v>30</v>
      </c>
    </row>
    <row r="9" spans="1:23" ht="15.75" customHeight="1">
      <c r="A9" s="8" t="s">
        <v>65</v>
      </c>
      <c r="B9" s="8" t="s">
        <v>66</v>
      </c>
      <c r="C9" s="8" t="s">
        <v>67</v>
      </c>
      <c r="D9" s="8">
        <v>90</v>
      </c>
      <c r="E9" s="8">
        <v>35</v>
      </c>
      <c r="F9" s="8" t="s">
        <v>44</v>
      </c>
      <c r="G9" s="5" t="str">
        <f t="shared" si="1"/>
        <v>Blender</v>
      </c>
      <c r="H9" s="5" t="str">
        <f t="shared" si="2"/>
        <v>Blender</v>
      </c>
      <c r="I9" s="8" t="s">
        <v>67</v>
      </c>
      <c r="J9" t="b">
        <f t="shared" si="0"/>
        <v>0</v>
      </c>
      <c r="K9">
        <v>90</v>
      </c>
      <c r="L9" s="10">
        <f t="shared" si="3"/>
        <v>90</v>
      </c>
      <c r="M9" s="8">
        <v>35</v>
      </c>
      <c r="N9" s="8" t="s">
        <v>44</v>
      </c>
      <c r="O9" s="5" t="str">
        <f t="shared" si="4"/>
        <v>Kitchen</v>
      </c>
      <c r="P9" s="5">
        <v>23</v>
      </c>
      <c r="Q9" s="5" t="s">
        <v>68</v>
      </c>
      <c r="R9" s="5" t="str">
        <f t="shared" si="7"/>
        <v>23-AUG</v>
      </c>
      <c r="S9" s="20">
        <f t="shared" si="5"/>
        <v>45892</v>
      </c>
      <c r="T9" s="5" t="s">
        <v>60</v>
      </c>
      <c r="U9" s="5" t="str">
        <f t="shared" si="6"/>
        <v>Ninja Blender</v>
      </c>
      <c r="W9">
        <f>IFERROR(IF(K9="",AVERAGEIF($G$2:$G$32,G9,$K$2:$K$32),K9),"NA")</f>
        <v>90</v>
      </c>
    </row>
    <row r="10" spans="1:23" ht="15.75" customHeight="1">
      <c r="A10" s="5" t="s">
        <v>69</v>
      </c>
      <c r="B10" s="5" t="s">
        <v>70</v>
      </c>
      <c r="C10" s="5" t="s">
        <v>71</v>
      </c>
      <c r="D10" s="5">
        <v>500</v>
      </c>
      <c r="E10" s="5">
        <v>50</v>
      </c>
      <c r="F10" s="5" t="s">
        <v>33</v>
      </c>
      <c r="G10" s="5" t="str">
        <f t="shared" si="1"/>
        <v>Tablet</v>
      </c>
      <c r="H10" s="5" t="str">
        <f t="shared" si="2"/>
        <v>Tablet</v>
      </c>
      <c r="I10" s="5" t="s">
        <v>71</v>
      </c>
      <c r="J10" t="b">
        <f t="shared" si="0"/>
        <v>0</v>
      </c>
      <c r="K10">
        <v>500</v>
      </c>
      <c r="L10" s="10">
        <f t="shared" si="3"/>
        <v>500</v>
      </c>
      <c r="M10" s="5">
        <v>50</v>
      </c>
      <c r="N10" s="5" t="s">
        <v>33</v>
      </c>
      <c r="O10" s="5" t="str">
        <f t="shared" si="4"/>
        <v>Electronics</v>
      </c>
      <c r="P10" s="5">
        <v>5</v>
      </c>
      <c r="Q10" s="5" t="s">
        <v>72</v>
      </c>
      <c r="R10" s="5" t="str">
        <f t="shared" si="7"/>
        <v>5-SEP</v>
      </c>
      <c r="S10" s="20">
        <f t="shared" si="5"/>
        <v>45905</v>
      </c>
      <c r="T10" s="5" t="s">
        <v>60</v>
      </c>
      <c r="U10" s="5" t="str">
        <f t="shared" si="6"/>
        <v>Apple Tablet</v>
      </c>
      <c r="W10">
        <f>IFERROR(IF(K10="",AVERAGEIF($G$2:$G$32,G10,$K$2:$K$32),K10),"NA")</f>
        <v>500</v>
      </c>
    </row>
    <row r="11" spans="1:23" ht="15.75" customHeight="1">
      <c r="A11" s="8" t="s">
        <v>73</v>
      </c>
      <c r="B11" s="8" t="s">
        <v>74</v>
      </c>
      <c r="C11" s="8" t="s">
        <v>75</v>
      </c>
      <c r="D11" s="8">
        <v>130</v>
      </c>
      <c r="E11" s="8">
        <v>10</v>
      </c>
      <c r="F11" s="8" t="s">
        <v>76</v>
      </c>
      <c r="G11" s="5" t="str">
        <f t="shared" si="1"/>
        <v>Hiking Boots</v>
      </c>
      <c r="H11" s="5" t="str">
        <f t="shared" si="2"/>
        <v>Hiking Boots</v>
      </c>
      <c r="I11" s="8" t="s">
        <v>75</v>
      </c>
      <c r="J11" t="b">
        <f t="shared" si="0"/>
        <v>0</v>
      </c>
      <c r="K11">
        <v>130</v>
      </c>
      <c r="L11" s="10">
        <f t="shared" ref="L11:L32" si="8">IF(ISBLANK(D11),MEDIAN($D$2:$D$32),D11)</f>
        <v>130</v>
      </c>
      <c r="M11" s="8">
        <v>10</v>
      </c>
      <c r="N11" s="8" t="s">
        <v>76</v>
      </c>
      <c r="O11" s="5" t="str">
        <f t="shared" si="4"/>
        <v>Outdoor</v>
      </c>
      <c r="P11" s="5">
        <v>14</v>
      </c>
      <c r="Q11" s="5" t="s">
        <v>77</v>
      </c>
      <c r="R11" s="5" t="str">
        <f t="shared" si="7"/>
        <v>14-OCT</v>
      </c>
      <c r="S11" s="20">
        <f t="shared" si="5"/>
        <v>45944</v>
      </c>
      <c r="T11" s="5" t="s">
        <v>60</v>
      </c>
      <c r="U11" s="5" t="str">
        <f t="shared" si="6"/>
        <v>Timberland Hiking Boots</v>
      </c>
      <c r="W11">
        <f>IFERROR(IF(K11="",AVERAGEIF($G$2:$G$32,G11,$K$2:$K$32),K11),"NA")</f>
        <v>130</v>
      </c>
    </row>
    <row r="12" spans="1:23" ht="15.75" customHeight="1">
      <c r="A12" s="5" t="s">
        <v>78</v>
      </c>
      <c r="B12" s="5" t="s">
        <v>79</v>
      </c>
      <c r="C12" s="5" t="s">
        <v>80</v>
      </c>
      <c r="D12" s="5">
        <v>950</v>
      </c>
      <c r="E12" s="5">
        <v>25</v>
      </c>
      <c r="F12" s="5" t="s">
        <v>33</v>
      </c>
      <c r="G12" s="5" t="str">
        <f t="shared" si="1"/>
        <v>Laptop</v>
      </c>
      <c r="H12" s="5" t="str">
        <f t="shared" si="2"/>
        <v>Laptop</v>
      </c>
      <c r="I12" s="5" t="s">
        <v>80</v>
      </c>
      <c r="J12" t="b">
        <f t="shared" si="0"/>
        <v>0</v>
      </c>
      <c r="K12">
        <v>950</v>
      </c>
      <c r="L12" s="10">
        <f t="shared" si="8"/>
        <v>950</v>
      </c>
      <c r="M12" s="5">
        <v>25</v>
      </c>
      <c r="N12" s="5" t="s">
        <v>33</v>
      </c>
      <c r="O12" s="5" t="str">
        <f t="shared" si="4"/>
        <v>Electronics</v>
      </c>
      <c r="P12" s="5">
        <v>17</v>
      </c>
      <c r="Q12" s="5" t="s">
        <v>59</v>
      </c>
      <c r="R12" s="5" t="str">
        <f t="shared" si="7"/>
        <v>17-JUN</v>
      </c>
      <c r="S12" s="20">
        <f t="shared" si="5"/>
        <v>45825</v>
      </c>
      <c r="T12" s="5" t="s">
        <v>81</v>
      </c>
      <c r="U12" s="5" t="str">
        <f t="shared" si="6"/>
        <v>Hp Laptop</v>
      </c>
      <c r="W12">
        <f>IFERROR(IF(K12="",AVERAGEIF($G$2:$G$32,G12,$K$2:$K$32),K12),"NA")</f>
        <v>950</v>
      </c>
    </row>
    <row r="13" spans="1:23" ht="15.75" customHeight="1">
      <c r="A13" s="8" t="s">
        <v>82</v>
      </c>
      <c r="B13" s="8" t="s">
        <v>37</v>
      </c>
      <c r="C13" s="8" t="s">
        <v>63</v>
      </c>
      <c r="D13" s="8">
        <v>90</v>
      </c>
      <c r="E13" s="8">
        <v>40</v>
      </c>
      <c r="F13" s="8"/>
      <c r="G13" s="5" t="str">
        <f t="shared" si="1"/>
        <v>Sneakers</v>
      </c>
      <c r="H13" s="5" t="str">
        <f t="shared" si="2"/>
        <v>Sneakers</v>
      </c>
      <c r="I13" s="8" t="s">
        <v>63</v>
      </c>
      <c r="J13" t="b">
        <f t="shared" si="0"/>
        <v>0</v>
      </c>
      <c r="K13">
        <v>90</v>
      </c>
      <c r="L13" s="10">
        <f t="shared" si="8"/>
        <v>90</v>
      </c>
      <c r="M13" s="8">
        <v>40</v>
      </c>
      <c r="N13" s="8"/>
      <c r="O13" s="5" t="s">
        <v>39</v>
      </c>
      <c r="P13" s="5">
        <v>25</v>
      </c>
      <c r="Q13" s="5" t="s">
        <v>83</v>
      </c>
      <c r="R13" s="5" t="str">
        <f t="shared" si="7"/>
        <v>25-NOV</v>
      </c>
      <c r="S13" s="20">
        <f t="shared" si="5"/>
        <v>45986</v>
      </c>
      <c r="T13" s="5" t="s">
        <v>84</v>
      </c>
      <c r="U13" s="5" t="str">
        <f t="shared" si="6"/>
        <v>Adidas Sneakers</v>
      </c>
      <c r="W13">
        <f>IFERROR(IF(K13="",AVERAGEIF($G$2:$G$32,G13,$K$2:$K$32),K13),"NA")</f>
        <v>90</v>
      </c>
    </row>
    <row r="14" spans="1:23" ht="15.75" customHeight="1">
      <c r="A14" s="5" t="s">
        <v>85</v>
      </c>
      <c r="B14" s="5" t="s">
        <v>42</v>
      </c>
      <c r="C14" s="5" t="s">
        <v>86</v>
      </c>
      <c r="D14" s="5">
        <v>120</v>
      </c>
      <c r="E14" s="5">
        <v>35</v>
      </c>
      <c r="F14" s="5"/>
      <c r="G14" s="5" t="str">
        <f t="shared" si="1"/>
        <v>Coffee Maker</v>
      </c>
      <c r="H14" s="5" t="str">
        <f t="shared" si="2"/>
        <v>Coffee Maker</v>
      </c>
      <c r="I14" s="5" t="s">
        <v>86</v>
      </c>
      <c r="J14" t="b">
        <f t="shared" si="0"/>
        <v>0</v>
      </c>
      <c r="K14">
        <v>120</v>
      </c>
      <c r="L14" s="10">
        <f t="shared" si="8"/>
        <v>120</v>
      </c>
      <c r="M14" s="5">
        <v>35</v>
      </c>
      <c r="N14" s="5"/>
      <c r="O14" s="5" t="s">
        <v>44</v>
      </c>
      <c r="P14" s="5">
        <v>8</v>
      </c>
      <c r="Q14" s="5" t="s">
        <v>87</v>
      </c>
      <c r="R14" s="5" t="str">
        <f t="shared" si="7"/>
        <v>8-DEC</v>
      </c>
      <c r="S14" s="20">
        <f t="shared" si="5"/>
        <v>45999</v>
      </c>
      <c r="T14" s="5" t="s">
        <v>88</v>
      </c>
      <c r="U14" s="5" t="str">
        <f t="shared" si="6"/>
        <v>Nespresso Coffee Maker</v>
      </c>
      <c r="W14">
        <f>IFERROR(IF(K14="",AVERAGEIF($G$2:$G$32,G14,$K$2:$K$32),K14),"NA")</f>
        <v>120</v>
      </c>
    </row>
    <row r="15" spans="1:23" ht="15.75" customHeight="1">
      <c r="A15" s="8" t="s">
        <v>89</v>
      </c>
      <c r="B15" s="8" t="s">
        <v>90</v>
      </c>
      <c r="C15" s="8" t="s">
        <v>91</v>
      </c>
      <c r="D15" s="8">
        <v>150</v>
      </c>
      <c r="E15" s="8">
        <v>15</v>
      </c>
      <c r="F15" s="8" t="s">
        <v>58</v>
      </c>
      <c r="G15" s="5" t="str">
        <f t="shared" si="1"/>
        <v>Smartwatch</v>
      </c>
      <c r="H15" s="5" t="str">
        <f t="shared" si="2"/>
        <v>Smartwatch</v>
      </c>
      <c r="I15" s="8" t="s">
        <v>91</v>
      </c>
      <c r="J15" t="b">
        <f t="shared" si="0"/>
        <v>0</v>
      </c>
      <c r="K15">
        <v>150</v>
      </c>
      <c r="L15" s="10">
        <f t="shared" si="8"/>
        <v>150</v>
      </c>
      <c r="M15" s="8">
        <v>15</v>
      </c>
      <c r="N15" s="8" t="s">
        <v>33</v>
      </c>
      <c r="O15" s="5" t="str">
        <f t="shared" si="4"/>
        <v>Electronics</v>
      </c>
      <c r="P15" s="5">
        <v>18</v>
      </c>
      <c r="Q15" s="5" t="s">
        <v>40</v>
      </c>
      <c r="R15" s="5" t="str">
        <f t="shared" si="7"/>
        <v>18-FEB</v>
      </c>
      <c r="S15" s="20">
        <f t="shared" si="5"/>
        <v>45706</v>
      </c>
      <c r="T15" s="5" t="s">
        <v>92</v>
      </c>
      <c r="U15" s="5" t="str">
        <f t="shared" si="6"/>
        <v>Fitbit Smartwatch</v>
      </c>
      <c r="W15">
        <f>IFERROR(IF(K15="",AVERAGEIF($G$2:$G$32,G15,$K$2:$K$32),K15),"NA")</f>
        <v>150</v>
      </c>
    </row>
    <row r="16" spans="1:23" ht="15.75" customHeight="1">
      <c r="A16" s="5" t="s">
        <v>93</v>
      </c>
      <c r="B16" s="5" t="s">
        <v>94</v>
      </c>
      <c r="C16" s="5" t="s">
        <v>95</v>
      </c>
      <c r="D16" s="5">
        <v>250</v>
      </c>
      <c r="E16" s="5">
        <v>20</v>
      </c>
      <c r="F16" s="5" t="s">
        <v>58</v>
      </c>
      <c r="G16" s="5" t="str">
        <f t="shared" si="1"/>
        <v>Headphones</v>
      </c>
      <c r="H16" s="5" t="str">
        <f t="shared" si="2"/>
        <v>Headphones</v>
      </c>
      <c r="I16" s="5" t="s">
        <v>95</v>
      </c>
      <c r="J16" t="b">
        <f t="shared" si="0"/>
        <v>0</v>
      </c>
      <c r="K16">
        <v>250</v>
      </c>
      <c r="L16" s="10">
        <f t="shared" si="8"/>
        <v>250</v>
      </c>
      <c r="M16" s="5">
        <v>20</v>
      </c>
      <c r="N16" s="5" t="s">
        <v>33</v>
      </c>
      <c r="O16" s="5" t="str">
        <f t="shared" si="4"/>
        <v>Electronics</v>
      </c>
      <c r="P16" s="5">
        <v>16</v>
      </c>
      <c r="Q16" s="5" t="s">
        <v>49</v>
      </c>
      <c r="R16" s="5" t="str">
        <f t="shared" si="7"/>
        <v>16-APR</v>
      </c>
      <c r="S16" s="20">
        <f t="shared" si="5"/>
        <v>45763</v>
      </c>
      <c r="T16" s="5" t="s">
        <v>96</v>
      </c>
      <c r="U16" s="5" t="str">
        <f t="shared" si="6"/>
        <v>Bose Headphones</v>
      </c>
      <c r="W16">
        <f>IFERROR(IF(K16="",AVERAGEIF($G$2:$G$32,G16,$K$2:$K$32),K16),"NA")</f>
        <v>250</v>
      </c>
    </row>
    <row r="17" spans="1:25" ht="15.75" customHeight="1">
      <c r="A17" s="8" t="s">
        <v>97</v>
      </c>
      <c r="B17" s="8" t="s">
        <v>98</v>
      </c>
      <c r="C17" s="8" t="s">
        <v>99</v>
      </c>
      <c r="D17" s="8">
        <v>50</v>
      </c>
      <c r="E17" s="8">
        <v>35</v>
      </c>
      <c r="F17" s="8" t="s">
        <v>53</v>
      </c>
      <c r="G17" s="5" t="str">
        <f t="shared" si="1"/>
        <v>Laptop Bag</v>
      </c>
      <c r="H17" s="5" t="str">
        <f t="shared" si="2"/>
        <v>Laptop Bag</v>
      </c>
      <c r="I17" s="8" t="s">
        <v>99</v>
      </c>
      <c r="J17" t="b">
        <f t="shared" si="0"/>
        <v>0</v>
      </c>
      <c r="K17">
        <v>50</v>
      </c>
      <c r="L17" s="10">
        <f t="shared" si="8"/>
        <v>50</v>
      </c>
      <c r="M17" s="8">
        <v>35</v>
      </c>
      <c r="N17" s="8" t="s">
        <v>53</v>
      </c>
      <c r="O17" s="5" t="str">
        <f t="shared" si="4"/>
        <v>Accessories</v>
      </c>
      <c r="P17" s="5">
        <v>21</v>
      </c>
      <c r="Q17" s="5" t="s">
        <v>68</v>
      </c>
      <c r="R17" s="5" t="str">
        <f t="shared" si="7"/>
        <v>21-AUG</v>
      </c>
      <c r="S17" s="20">
        <f t="shared" si="5"/>
        <v>45890</v>
      </c>
      <c r="T17" s="5" t="s">
        <v>92</v>
      </c>
      <c r="U17" s="5" t="str">
        <f t="shared" si="6"/>
        <v>Samsonite Laptop Bag</v>
      </c>
      <c r="W17">
        <f>IFERROR(IF(K17="",AVERAGEIF($G$2:$G$32,G17,$K$2:$K$32),K17),"NA")</f>
        <v>50</v>
      </c>
    </row>
    <row r="18" spans="1:25" ht="15.75" customHeight="1">
      <c r="A18" s="5" t="s">
        <v>100</v>
      </c>
      <c r="B18" s="5" t="s">
        <v>90</v>
      </c>
      <c r="C18" s="5" t="s">
        <v>101</v>
      </c>
      <c r="D18" s="5">
        <v>160</v>
      </c>
      <c r="E18" s="5">
        <v>15</v>
      </c>
      <c r="F18" s="5" t="s">
        <v>58</v>
      </c>
      <c r="G18" s="5" t="str">
        <f t="shared" si="1"/>
        <v>Smartwatch</v>
      </c>
      <c r="H18" s="5" t="str">
        <f t="shared" si="2"/>
        <v>Smartwatch</v>
      </c>
      <c r="I18" s="5" t="s">
        <v>101</v>
      </c>
      <c r="J18" t="b">
        <f t="shared" si="0"/>
        <v>0</v>
      </c>
      <c r="K18">
        <v>160</v>
      </c>
      <c r="L18" s="10">
        <f t="shared" si="8"/>
        <v>160</v>
      </c>
      <c r="M18" s="5">
        <v>15</v>
      </c>
      <c r="N18" s="5" t="s">
        <v>33</v>
      </c>
      <c r="O18" s="5" t="str">
        <f t="shared" si="4"/>
        <v>Electronics</v>
      </c>
      <c r="P18" s="5">
        <v>20</v>
      </c>
      <c r="Q18" s="5" t="s">
        <v>68</v>
      </c>
      <c r="R18" s="5" t="str">
        <f t="shared" si="7"/>
        <v>20-AUG</v>
      </c>
      <c r="S18" s="20">
        <f t="shared" si="5"/>
        <v>45889</v>
      </c>
      <c r="T18" s="5" t="s">
        <v>102</v>
      </c>
      <c r="U18" s="5" t="str">
        <f t="shared" si="6"/>
        <v>Huawei Smartwatch</v>
      </c>
      <c r="W18">
        <f>IFERROR(IF(K18="",AVERAGEIF($G$2:$G$32,G18,$K$2:$K$32),K18),"NA")</f>
        <v>160</v>
      </c>
    </row>
    <row r="19" spans="1:25" ht="15.75" customHeight="1">
      <c r="A19" s="8" t="s">
        <v>103</v>
      </c>
      <c r="B19" s="8" t="s">
        <v>31</v>
      </c>
      <c r="C19" s="8" t="s">
        <v>104</v>
      </c>
      <c r="D19" s="8">
        <v>980</v>
      </c>
      <c r="E19" s="8">
        <v>10</v>
      </c>
      <c r="F19" s="8" t="s">
        <v>33</v>
      </c>
      <c r="G19" s="5" t="str">
        <f t="shared" si="1"/>
        <v>Laptop</v>
      </c>
      <c r="H19" s="5" t="str">
        <f t="shared" si="2"/>
        <v>Laptop</v>
      </c>
      <c r="I19" s="8" t="s">
        <v>104</v>
      </c>
      <c r="J19" t="b">
        <f t="shared" si="0"/>
        <v>0</v>
      </c>
      <c r="K19">
        <v>980</v>
      </c>
      <c r="L19" s="10">
        <f t="shared" si="8"/>
        <v>980</v>
      </c>
      <c r="M19" s="8">
        <v>10</v>
      </c>
      <c r="N19" s="8" t="s">
        <v>33</v>
      </c>
      <c r="O19" s="5" t="str">
        <f t="shared" si="4"/>
        <v>Electronics</v>
      </c>
      <c r="P19" s="5">
        <v>27</v>
      </c>
      <c r="Q19" s="5" t="s">
        <v>34</v>
      </c>
      <c r="R19" s="5" t="str">
        <f t="shared" si="7"/>
        <v>27-JAN</v>
      </c>
      <c r="S19" s="20">
        <f t="shared" si="5"/>
        <v>45684</v>
      </c>
      <c r="T19" s="5" t="s">
        <v>105</v>
      </c>
      <c r="U19" s="5" t="str">
        <f t="shared" si="6"/>
        <v>Asus Laptop</v>
      </c>
      <c r="W19">
        <f>IFERROR(IF(K19="",AVERAGEIF($G$2:$G$32,G19,$K$2:$K$32),K19),"NA")</f>
        <v>980</v>
      </c>
    </row>
    <row r="20" spans="1:25" ht="15.75" customHeight="1">
      <c r="A20" s="5" t="s">
        <v>106</v>
      </c>
      <c r="B20" s="5" t="s">
        <v>107</v>
      </c>
      <c r="C20" s="5" t="s">
        <v>108</v>
      </c>
      <c r="D20" s="5">
        <v>150</v>
      </c>
      <c r="E20" s="5">
        <v>15</v>
      </c>
      <c r="F20" s="5" t="s">
        <v>39</v>
      </c>
      <c r="G20" s="5" t="str">
        <f t="shared" si="1"/>
        <v>Sunglasses</v>
      </c>
      <c r="H20" s="5" t="str">
        <f t="shared" si="2"/>
        <v>Sunglasses</v>
      </c>
      <c r="I20" s="5" t="s">
        <v>108</v>
      </c>
      <c r="J20" t="b">
        <f t="shared" si="0"/>
        <v>0</v>
      </c>
      <c r="K20">
        <v>150</v>
      </c>
      <c r="L20" s="10">
        <f t="shared" si="8"/>
        <v>150</v>
      </c>
      <c r="M20" s="5">
        <v>15</v>
      </c>
      <c r="N20" s="5" t="s">
        <v>39</v>
      </c>
      <c r="O20" s="5" t="str">
        <f t="shared" si="4"/>
        <v>Fashion</v>
      </c>
      <c r="P20" s="5">
        <v>1</v>
      </c>
      <c r="Q20" s="5" t="s">
        <v>45</v>
      </c>
      <c r="R20" s="5" t="str">
        <f t="shared" si="7"/>
        <v>1-MAR</v>
      </c>
      <c r="S20" s="20">
        <f t="shared" si="5"/>
        <v>45717</v>
      </c>
      <c r="T20" s="5" t="s">
        <v>60</v>
      </c>
      <c r="U20" s="5" t="str">
        <f t="shared" si="6"/>
        <v>Oakley Sunglasses</v>
      </c>
      <c r="W20">
        <f>IFERROR(IF(K20="",AVERAGEIF($G$2:$G$32,G20,$K$2:$K$32),K20),"NA")</f>
        <v>150</v>
      </c>
    </row>
    <row r="21" spans="1:25" ht="15.75" customHeight="1">
      <c r="A21" s="8" t="s">
        <v>109</v>
      </c>
      <c r="B21" s="8" t="s">
        <v>110</v>
      </c>
      <c r="C21" s="8" t="s">
        <v>111</v>
      </c>
      <c r="D21" s="8"/>
      <c r="E21" s="8">
        <v>10</v>
      </c>
      <c r="F21" s="8" t="s">
        <v>76</v>
      </c>
      <c r="G21" s="5" t="str">
        <f t="shared" si="1"/>
        <v>Camping Tent</v>
      </c>
      <c r="H21" s="5" t="str">
        <f t="shared" si="2"/>
        <v>Camping Tent</v>
      </c>
      <c r="I21" s="8" t="s">
        <v>111</v>
      </c>
      <c r="J21" t="b">
        <f t="shared" si="0"/>
        <v>0</v>
      </c>
      <c r="L21" s="10">
        <f t="shared" si="8"/>
        <v>130</v>
      </c>
      <c r="M21" s="8">
        <v>10</v>
      </c>
      <c r="N21" s="8" t="s">
        <v>76</v>
      </c>
      <c r="O21" s="5" t="str">
        <f>IF(N21="","Electronics",N21)</f>
        <v>Outdoor</v>
      </c>
      <c r="P21" s="5">
        <v>14</v>
      </c>
      <c r="Q21" s="5" t="s">
        <v>68</v>
      </c>
      <c r="R21" s="5" t="str">
        <f t="shared" si="7"/>
        <v>14-AUG</v>
      </c>
      <c r="S21" s="20">
        <f t="shared" si="5"/>
        <v>45883</v>
      </c>
      <c r="T21" s="5" t="s">
        <v>35</v>
      </c>
      <c r="U21" s="5" t="str">
        <f t="shared" si="6"/>
        <v>Coleman Camping Tent</v>
      </c>
      <c r="W21" s="17" t="str">
        <f>IFERROR(IF(K21="",AVERAGEIF($G$2:$G$32,G21,$K$2:$K$32),K21),"NA")</f>
        <v>NA</v>
      </c>
      <c r="X21" s="17">
        <f t="shared" ref="X3:X35" si="9">IF(K21="",AVERAGEIF($F$2:$F$32,$F21,$K$2:$K$32),K21)</f>
        <v>130</v>
      </c>
      <c r="Y21" t="s">
        <v>112</v>
      </c>
    </row>
    <row r="22" spans="1:25" ht="15.75" customHeight="1">
      <c r="A22" s="5" t="s">
        <v>113</v>
      </c>
      <c r="B22" s="5" t="s">
        <v>114</v>
      </c>
      <c r="C22" s="5" t="s">
        <v>115</v>
      </c>
      <c r="D22" s="5">
        <v>700</v>
      </c>
      <c r="E22" s="5">
        <v>50</v>
      </c>
      <c r="F22" s="5" t="s">
        <v>33</v>
      </c>
      <c r="G22" s="5" t="str">
        <f t="shared" si="1"/>
        <v>Camera</v>
      </c>
      <c r="H22" s="5" t="str">
        <f t="shared" si="2"/>
        <v>Camera</v>
      </c>
      <c r="I22" s="5" t="s">
        <v>115</v>
      </c>
      <c r="J22" t="b">
        <f t="shared" si="0"/>
        <v>0</v>
      </c>
      <c r="K22">
        <v>700</v>
      </c>
      <c r="L22" s="10">
        <f t="shared" si="8"/>
        <v>700</v>
      </c>
      <c r="M22" s="5">
        <v>50</v>
      </c>
      <c r="N22" s="5" t="s">
        <v>33</v>
      </c>
      <c r="O22" s="5" t="str">
        <f t="shared" si="4"/>
        <v>Electronics</v>
      </c>
      <c r="P22" s="5">
        <v>14</v>
      </c>
      <c r="Q22" s="5" t="s">
        <v>54</v>
      </c>
      <c r="R22" s="5" t="str">
        <f t="shared" si="7"/>
        <v>14-MAY</v>
      </c>
      <c r="S22" s="20">
        <f t="shared" si="5"/>
        <v>45791</v>
      </c>
      <c r="T22" s="5" t="s">
        <v>116</v>
      </c>
      <c r="U22" s="5" t="str">
        <f t="shared" si="6"/>
        <v>Nikon Camera</v>
      </c>
      <c r="W22">
        <f>IFERROR(IF(K22="",AVERAGEIF($G$2:$G$32,G22,$K$2:$K$32),K22),"NA")</f>
        <v>700</v>
      </c>
    </row>
    <row r="23" spans="1:25" ht="15.75" customHeight="1">
      <c r="A23" s="8" t="s">
        <v>117</v>
      </c>
      <c r="B23" s="8" t="s">
        <v>118</v>
      </c>
      <c r="C23" s="8" t="s">
        <v>119</v>
      </c>
      <c r="D23" s="8">
        <v>80</v>
      </c>
      <c r="E23" s="8">
        <v>20</v>
      </c>
      <c r="F23" s="8" t="s">
        <v>44</v>
      </c>
      <c r="G23" s="5" t="str">
        <f t="shared" si="1"/>
        <v>Microwave</v>
      </c>
      <c r="H23" s="5" t="str">
        <f t="shared" si="2"/>
        <v>Microwave</v>
      </c>
      <c r="I23" s="8" t="s">
        <v>119</v>
      </c>
      <c r="J23" t="b">
        <f t="shared" si="0"/>
        <v>0</v>
      </c>
      <c r="K23">
        <v>80</v>
      </c>
      <c r="L23" s="10">
        <f t="shared" si="8"/>
        <v>80</v>
      </c>
      <c r="M23" s="8">
        <v>20</v>
      </c>
      <c r="N23" s="8" t="s">
        <v>44</v>
      </c>
      <c r="O23" s="5" t="str">
        <f t="shared" si="4"/>
        <v>Kitchen</v>
      </c>
      <c r="P23" s="5">
        <v>9</v>
      </c>
      <c r="Q23" s="5" t="s">
        <v>34</v>
      </c>
      <c r="R23" s="5" t="str">
        <f t="shared" si="7"/>
        <v>9-JAN</v>
      </c>
      <c r="S23" s="20">
        <f t="shared" si="5"/>
        <v>45666</v>
      </c>
      <c r="T23" s="5" t="s">
        <v>92</v>
      </c>
      <c r="U23" s="5" t="str">
        <f t="shared" si="6"/>
        <v>Panasonic Microwave</v>
      </c>
      <c r="W23">
        <f>IFERROR(IF(K23="",AVERAGEIF($G$2:$G$32,G23,$K$2:$K$32),K23),"NA")</f>
        <v>80</v>
      </c>
    </row>
    <row r="24" spans="1:25" ht="15.75" customHeight="1">
      <c r="A24" s="5" t="s">
        <v>120</v>
      </c>
      <c r="B24" s="5" t="s">
        <v>121</v>
      </c>
      <c r="C24" s="5" t="s">
        <v>122</v>
      </c>
      <c r="D24" s="5">
        <v>150</v>
      </c>
      <c r="E24" s="5">
        <v>30</v>
      </c>
      <c r="F24" s="5"/>
      <c r="G24" s="5" t="str">
        <f t="shared" si="1"/>
        <v>Fitness Tracker</v>
      </c>
      <c r="H24" s="5" t="str">
        <f t="shared" si="2"/>
        <v>Fitness Tracker</v>
      </c>
      <c r="I24" s="5" t="s">
        <v>122</v>
      </c>
      <c r="J24" t="b">
        <f t="shared" si="0"/>
        <v>0</v>
      </c>
      <c r="K24">
        <v>150</v>
      </c>
      <c r="L24" s="10">
        <f t="shared" si="8"/>
        <v>150</v>
      </c>
      <c r="M24" s="5">
        <v>30</v>
      </c>
      <c r="N24" s="5"/>
      <c r="O24" s="5" t="str">
        <f t="shared" si="4"/>
        <v>Electronics</v>
      </c>
      <c r="P24" s="5">
        <v>19</v>
      </c>
      <c r="Q24" s="5" t="s">
        <v>64</v>
      </c>
      <c r="R24" s="5" t="str">
        <f t="shared" si="7"/>
        <v>19-JUL</v>
      </c>
      <c r="S24" s="20">
        <f t="shared" si="5"/>
        <v>45857</v>
      </c>
      <c r="T24" s="5" t="s">
        <v>123</v>
      </c>
      <c r="U24" s="5" t="str">
        <f t="shared" si="6"/>
        <v>Xiaomi Fitness Tracker</v>
      </c>
      <c r="W24">
        <f>IFERROR(IF(K24="",AVERAGEIF($G$2:$G$32,G24,$K$2:$K$32),K24),"NA")</f>
        <v>150</v>
      </c>
    </row>
    <row r="25" spans="1:25" ht="15.75" customHeight="1">
      <c r="A25" s="5" t="s">
        <v>124</v>
      </c>
      <c r="B25" s="5" t="s">
        <v>125</v>
      </c>
      <c r="C25" s="5" t="s">
        <v>126</v>
      </c>
      <c r="D25" s="5">
        <v>800</v>
      </c>
      <c r="E25" s="5">
        <v>45</v>
      </c>
      <c r="F25" s="5" t="s">
        <v>33</v>
      </c>
      <c r="G25" s="5" t="str">
        <f t="shared" si="1"/>
        <v>Smartphone</v>
      </c>
      <c r="H25" s="5" t="str">
        <f t="shared" si="2"/>
        <v>Smartphone</v>
      </c>
      <c r="I25" s="5" t="s">
        <v>126</v>
      </c>
      <c r="J25" t="b">
        <f t="shared" si="0"/>
        <v>0</v>
      </c>
      <c r="K25">
        <v>800</v>
      </c>
      <c r="L25" s="10">
        <f t="shared" si="8"/>
        <v>800</v>
      </c>
      <c r="M25" s="5">
        <v>45</v>
      </c>
      <c r="N25" s="5" t="s">
        <v>33</v>
      </c>
      <c r="O25" s="5" t="str">
        <f t="shared" si="4"/>
        <v>Electronics</v>
      </c>
      <c r="P25" s="5">
        <v>29</v>
      </c>
      <c r="Q25" s="5" t="s">
        <v>72</v>
      </c>
      <c r="R25" s="5" t="str">
        <f t="shared" si="7"/>
        <v>29-SEP</v>
      </c>
      <c r="S25" s="20">
        <f t="shared" si="5"/>
        <v>45929</v>
      </c>
      <c r="T25" s="5" t="s">
        <v>92</v>
      </c>
      <c r="U25" s="5" t="str">
        <f t="shared" si="6"/>
        <v>Google Smartphone</v>
      </c>
      <c r="W25">
        <f>IFERROR(IF(K25="",AVERAGEIF($G$2:$G$32,G25,$K$2:$K$32),K25),"NA")</f>
        <v>800</v>
      </c>
    </row>
    <row r="26" spans="1:25" ht="15.75" customHeight="1">
      <c r="A26" s="8" t="s">
        <v>127</v>
      </c>
      <c r="B26" s="8" t="s">
        <v>107</v>
      </c>
      <c r="C26" s="8" t="s">
        <v>128</v>
      </c>
      <c r="D26" s="8"/>
      <c r="E26" s="8">
        <v>25</v>
      </c>
      <c r="F26" s="8" t="s">
        <v>39</v>
      </c>
      <c r="G26" s="5" t="str">
        <f t="shared" si="1"/>
        <v>Sunglasses</v>
      </c>
      <c r="H26" s="5" t="str">
        <f t="shared" si="2"/>
        <v>Sunglasses</v>
      </c>
      <c r="I26" s="8" t="s">
        <v>128</v>
      </c>
      <c r="J26" t="b">
        <f t="shared" si="0"/>
        <v>0</v>
      </c>
      <c r="L26" s="10">
        <f t="shared" si="8"/>
        <v>130</v>
      </c>
      <c r="M26" s="8">
        <v>25</v>
      </c>
      <c r="N26" s="8" t="s">
        <v>39</v>
      </c>
      <c r="O26" s="5" t="str">
        <f t="shared" si="4"/>
        <v>Fashion</v>
      </c>
      <c r="P26" s="5">
        <v>3</v>
      </c>
      <c r="Q26" s="5" t="s">
        <v>59</v>
      </c>
      <c r="R26" s="5" t="str">
        <f t="shared" si="7"/>
        <v>3-JUN</v>
      </c>
      <c r="S26" s="20">
        <f t="shared" si="5"/>
        <v>45811</v>
      </c>
      <c r="T26" s="5" t="s">
        <v>92</v>
      </c>
      <c r="U26" s="5" t="str">
        <f t="shared" si="6"/>
        <v>Ray-Ban Sunglasses</v>
      </c>
      <c r="W26">
        <f>IFERROR(IF(K26="",AVERAGEIF($G$2:$G$32,G26,$K$2:$K$32),K26),"NA")</f>
        <v>150</v>
      </c>
    </row>
    <row r="27" spans="1:25" ht="15.75" customHeight="1">
      <c r="A27" s="5" t="s">
        <v>129</v>
      </c>
      <c r="B27" s="5" t="s">
        <v>66</v>
      </c>
      <c r="C27" s="5" t="s">
        <v>130</v>
      </c>
      <c r="D27" s="5">
        <v>400</v>
      </c>
      <c r="E27" s="5">
        <v>40</v>
      </c>
      <c r="F27" s="5" t="s">
        <v>44</v>
      </c>
      <c r="G27" s="5" t="str">
        <f t="shared" si="1"/>
        <v>Blender</v>
      </c>
      <c r="H27" s="5" t="str">
        <f t="shared" si="2"/>
        <v>Blender</v>
      </c>
      <c r="I27" s="5" t="s">
        <v>130</v>
      </c>
      <c r="J27" t="b">
        <f t="shared" si="0"/>
        <v>0</v>
      </c>
      <c r="K27">
        <v>400</v>
      </c>
      <c r="L27" s="10">
        <f t="shared" si="8"/>
        <v>400</v>
      </c>
      <c r="M27" s="5">
        <v>40</v>
      </c>
      <c r="N27" s="5" t="s">
        <v>44</v>
      </c>
      <c r="O27" s="5" t="str">
        <f t="shared" si="4"/>
        <v>Kitchen</v>
      </c>
      <c r="P27" s="5">
        <v>11</v>
      </c>
      <c r="Q27" s="18" t="s">
        <v>64</v>
      </c>
      <c r="R27" s="5" t="str">
        <f t="shared" si="7"/>
        <v>11-JUL</v>
      </c>
      <c r="S27" s="20">
        <f t="shared" si="5"/>
        <v>45849</v>
      </c>
      <c r="T27" s="5" t="s">
        <v>92</v>
      </c>
      <c r="U27" s="5" t="str">
        <f t="shared" si="6"/>
        <v>Vitamix Blender</v>
      </c>
      <c r="W27">
        <f>IFERROR(IF(K27="",AVERAGEIF($G$2:$G$32,G27,$K$2:$K$32),K27),"NA")</f>
        <v>400</v>
      </c>
    </row>
    <row r="28" spans="1:25" ht="15.75" customHeight="1">
      <c r="A28" s="5" t="s">
        <v>131</v>
      </c>
      <c r="B28" s="5" t="s">
        <v>132</v>
      </c>
      <c r="C28" s="5" t="s">
        <v>133</v>
      </c>
      <c r="D28" s="5">
        <v>60</v>
      </c>
      <c r="E28" s="5">
        <v>30</v>
      </c>
      <c r="F28" s="5" t="s">
        <v>39</v>
      </c>
      <c r="G28" s="5" t="str">
        <f t="shared" si="1"/>
        <v>Dress</v>
      </c>
      <c r="H28" s="5" t="str">
        <f t="shared" si="2"/>
        <v>Dress</v>
      </c>
      <c r="I28" s="5" t="s">
        <v>133</v>
      </c>
      <c r="J28" t="b">
        <f t="shared" si="0"/>
        <v>0</v>
      </c>
      <c r="K28">
        <v>60</v>
      </c>
      <c r="L28" s="10">
        <f t="shared" si="8"/>
        <v>60</v>
      </c>
      <c r="M28" s="5">
        <v>30</v>
      </c>
      <c r="N28" s="5" t="s">
        <v>39</v>
      </c>
      <c r="O28" s="5" t="str">
        <f t="shared" si="4"/>
        <v>Fashion</v>
      </c>
      <c r="P28" s="5">
        <v>7</v>
      </c>
      <c r="Q28" s="5" t="s">
        <v>45</v>
      </c>
      <c r="R28" s="5" t="str">
        <f t="shared" si="7"/>
        <v>7-MAR</v>
      </c>
      <c r="S28" s="20">
        <f t="shared" si="5"/>
        <v>45723</v>
      </c>
      <c r="T28" s="5" t="s">
        <v>92</v>
      </c>
      <c r="U28" s="5" t="str">
        <f t="shared" si="6"/>
        <v>Zara Dress</v>
      </c>
      <c r="W28">
        <f>IFERROR(IF(K28="",AVERAGEIF($G$2:$G$32,G28,$K$2:$K$32),K28),"NA")</f>
        <v>60</v>
      </c>
    </row>
    <row r="29" spans="1:25" ht="15.75" customHeight="1">
      <c r="A29" s="8" t="s">
        <v>134</v>
      </c>
      <c r="B29" s="8" t="s">
        <v>135</v>
      </c>
      <c r="C29" s="8" t="s">
        <v>136</v>
      </c>
      <c r="D29" s="8">
        <v>40</v>
      </c>
      <c r="E29" s="8">
        <v>10</v>
      </c>
      <c r="F29" s="8" t="s">
        <v>44</v>
      </c>
      <c r="G29" s="5" t="str">
        <f t="shared" si="1"/>
        <v>Toaster</v>
      </c>
      <c r="H29" s="5" t="str">
        <f t="shared" si="2"/>
        <v>Toaster</v>
      </c>
      <c r="I29" s="8" t="s">
        <v>136</v>
      </c>
      <c r="J29" t="b">
        <f t="shared" si="0"/>
        <v>0</v>
      </c>
      <c r="K29">
        <v>40</v>
      </c>
      <c r="L29" s="10">
        <f t="shared" si="8"/>
        <v>40</v>
      </c>
      <c r="M29" s="8">
        <v>10</v>
      </c>
      <c r="N29" s="8" t="s">
        <v>44</v>
      </c>
      <c r="O29" s="5" t="str">
        <f t="shared" si="4"/>
        <v>Kitchen</v>
      </c>
      <c r="P29" s="5">
        <v>13</v>
      </c>
      <c r="Q29" s="5" t="s">
        <v>49</v>
      </c>
      <c r="R29" s="5" t="str">
        <f t="shared" si="7"/>
        <v>13-APR</v>
      </c>
      <c r="S29" s="20">
        <f t="shared" si="5"/>
        <v>45760</v>
      </c>
      <c r="T29" s="5" t="s">
        <v>92</v>
      </c>
      <c r="U29" s="5" t="str">
        <f t="shared" si="6"/>
        <v>Hamilton Toaster</v>
      </c>
      <c r="W29">
        <f>IFERROR(IF(K29="",AVERAGEIF($G$2:$G$32,G29,$K$2:$K$32),K29),"NA")</f>
        <v>40</v>
      </c>
    </row>
    <row r="30" spans="1:25" ht="15.75" customHeight="1">
      <c r="A30" s="5" t="s">
        <v>137</v>
      </c>
      <c r="B30" s="5" t="s">
        <v>121</v>
      </c>
      <c r="C30" s="5" t="s">
        <v>138</v>
      </c>
      <c r="D30" s="5">
        <v>130</v>
      </c>
      <c r="E30" s="5">
        <v>5</v>
      </c>
      <c r="F30" s="5" t="s">
        <v>33</v>
      </c>
      <c r="G30" s="5" t="str">
        <f t="shared" si="1"/>
        <v>Fitness Tracker</v>
      </c>
      <c r="H30" s="5" t="str">
        <f t="shared" si="2"/>
        <v>Fitness Tracker</v>
      </c>
      <c r="I30" s="5" t="s">
        <v>138</v>
      </c>
      <c r="J30" t="b">
        <f t="shared" si="0"/>
        <v>0</v>
      </c>
      <c r="K30">
        <v>130</v>
      </c>
      <c r="L30" s="10">
        <f t="shared" si="8"/>
        <v>130</v>
      </c>
      <c r="M30" s="5">
        <v>5</v>
      </c>
      <c r="N30" s="5" t="s">
        <v>33</v>
      </c>
      <c r="O30" s="5" t="str">
        <f t="shared" si="4"/>
        <v>Electronics</v>
      </c>
      <c r="P30" s="5">
        <v>24</v>
      </c>
      <c r="Q30" s="5" t="s">
        <v>54</v>
      </c>
      <c r="R30" s="5" t="str">
        <f t="shared" si="7"/>
        <v>24-MAY</v>
      </c>
      <c r="S30" s="20">
        <f t="shared" si="5"/>
        <v>45801</v>
      </c>
      <c r="T30" s="5" t="s">
        <v>92</v>
      </c>
      <c r="U30" s="5" t="str">
        <f t="shared" si="6"/>
        <v>Garmin Fitness Tracker</v>
      </c>
      <c r="W30">
        <f>IFERROR(IF(K30="",AVERAGEIF($G$2:$G$32,G30,$K$2:$K$32),K30),"NA")</f>
        <v>130</v>
      </c>
    </row>
    <row r="31" spans="1:25" ht="15.75" customHeight="1">
      <c r="A31" s="8" t="s">
        <v>139</v>
      </c>
      <c r="B31" s="8" t="s">
        <v>140</v>
      </c>
      <c r="C31" s="8" t="s">
        <v>141</v>
      </c>
      <c r="D31" s="8">
        <v>50</v>
      </c>
      <c r="E31" s="8">
        <v>50</v>
      </c>
      <c r="F31" s="8" t="s">
        <v>39</v>
      </c>
      <c r="G31" s="5" t="str">
        <f t="shared" si="1"/>
        <v>Jeans</v>
      </c>
      <c r="H31" s="5" t="str">
        <f t="shared" si="2"/>
        <v>Jeans</v>
      </c>
      <c r="I31" s="8" t="s">
        <v>141</v>
      </c>
      <c r="J31" t="b">
        <f t="shared" si="0"/>
        <v>0</v>
      </c>
      <c r="K31">
        <v>50</v>
      </c>
      <c r="L31" s="10">
        <f t="shared" si="8"/>
        <v>50</v>
      </c>
      <c r="M31" s="8">
        <v>50</v>
      </c>
      <c r="N31" s="8" t="s">
        <v>39</v>
      </c>
      <c r="O31" s="5" t="str">
        <f t="shared" si="4"/>
        <v>Fashion</v>
      </c>
      <c r="P31" s="5">
        <v>2</v>
      </c>
      <c r="Q31" s="5" t="s">
        <v>87</v>
      </c>
      <c r="R31" s="5" t="str">
        <f t="shared" si="7"/>
        <v>2-DEC</v>
      </c>
      <c r="S31" s="20">
        <f t="shared" si="5"/>
        <v>45993</v>
      </c>
      <c r="T31" s="5" t="s">
        <v>92</v>
      </c>
      <c r="U31" s="5" t="str">
        <f t="shared" si="6"/>
        <v>Levi'S Jeans</v>
      </c>
      <c r="W31">
        <f>IFERROR(IF(K31="",AVERAGEIF($G$2:$G$32,G31,$K$2:$K$32),K31),"NA")</f>
        <v>50</v>
      </c>
    </row>
    <row r="32" spans="1:25" ht="15.75" customHeight="1">
      <c r="A32" s="8" t="s">
        <v>142</v>
      </c>
      <c r="B32" s="8" t="s">
        <v>143</v>
      </c>
      <c r="C32" s="8" t="s">
        <v>144</v>
      </c>
      <c r="D32" s="8">
        <v>100</v>
      </c>
      <c r="E32" s="8">
        <v>20</v>
      </c>
      <c r="F32" s="8" t="s">
        <v>53</v>
      </c>
      <c r="G32" s="5" t="str">
        <f t="shared" si="1"/>
        <v>Watch</v>
      </c>
      <c r="H32" s="5" t="str">
        <f t="shared" si="2"/>
        <v>Watch</v>
      </c>
      <c r="I32" s="8" t="s">
        <v>144</v>
      </c>
      <c r="J32" t="b">
        <f t="shared" si="0"/>
        <v>0</v>
      </c>
      <c r="K32">
        <v>100</v>
      </c>
      <c r="L32" s="10">
        <f t="shared" si="8"/>
        <v>100</v>
      </c>
      <c r="M32" s="8">
        <v>20</v>
      </c>
      <c r="N32" s="8" t="s">
        <v>53</v>
      </c>
      <c r="O32" s="5" t="str">
        <f t="shared" si="4"/>
        <v>Accessories</v>
      </c>
      <c r="P32" s="5">
        <v>9</v>
      </c>
      <c r="Q32" s="5" t="s">
        <v>64</v>
      </c>
      <c r="R32" s="5" t="str">
        <f t="shared" si="7"/>
        <v>9-JUL</v>
      </c>
      <c r="S32" s="20">
        <f t="shared" si="5"/>
        <v>45847</v>
      </c>
      <c r="T32" s="5" t="s">
        <v>145</v>
      </c>
      <c r="U32" s="5" t="str">
        <f t="shared" si="6"/>
        <v>Casio Watch</v>
      </c>
      <c r="W32">
        <f>IFERROR(IF(K32="",AVERAGEIF($G$2:$G$32,G32,$K$2:$K$32),K32),"NA")</f>
        <v>100</v>
      </c>
    </row>
    <row r="33" spans="7:21" ht="15.75" customHeight="1">
      <c r="G33" s="5" t="str">
        <f t="shared" si="1"/>
        <v/>
      </c>
      <c r="H33" s="5" t="str">
        <f t="shared" si="2"/>
        <v/>
      </c>
      <c r="L33" s="9"/>
      <c r="O33" s="5"/>
      <c r="R33" s="5"/>
      <c r="S33" s="20"/>
      <c r="T33" s="7"/>
      <c r="U33" s="7" t="str">
        <f t="shared" si="6"/>
        <v xml:space="preserve"> </v>
      </c>
    </row>
    <row r="34" spans="7:21" ht="15.75" customHeight="1">
      <c r="G34" s="5" t="str">
        <f t="shared" si="1"/>
        <v/>
      </c>
      <c r="H34" s="5" t="str">
        <f t="shared" si="2"/>
        <v/>
      </c>
      <c r="L34" s="9"/>
      <c r="O34" s="5"/>
      <c r="R34" s="5"/>
      <c r="S34" s="20"/>
      <c r="T34" s="5"/>
      <c r="U34" s="5" t="str">
        <f t="shared" si="6"/>
        <v xml:space="preserve"> </v>
      </c>
    </row>
    <row r="35" spans="7:21" ht="15.75" customHeight="1">
      <c r="G35" s="5" t="str">
        <f t="shared" si="1"/>
        <v/>
      </c>
      <c r="H35" s="5" t="str">
        <f t="shared" si="2"/>
        <v/>
      </c>
      <c r="L35" s="9"/>
      <c r="O35" s="5"/>
      <c r="R35" s="5"/>
      <c r="S35" s="20"/>
      <c r="T35" s="8"/>
      <c r="U35" s="8" t="str">
        <f t="shared" si="6"/>
        <v xml:space="preserve"> </v>
      </c>
    </row>
    <row r="36" spans="7:21" ht="15.75" customHeight="1">
      <c r="T36" s="5"/>
      <c r="U36" s="5"/>
    </row>
    <row r="37" spans="7:21" ht="15.75" customHeight="1">
      <c r="T37" s="8"/>
      <c r="U37" s="8"/>
    </row>
    <row r="38" spans="7:21" ht="15.75" customHeight="1">
      <c r="T38" s="5"/>
      <c r="U38" s="5"/>
    </row>
    <row r="39" spans="7:21" ht="15.75" customHeight="1">
      <c r="T39" s="8"/>
      <c r="U39" s="8"/>
    </row>
    <row r="40" spans="7:21" ht="15.75" customHeight="1">
      <c r="T40" s="5"/>
      <c r="U40" s="5"/>
    </row>
    <row r="41" spans="7:21" ht="15.75" customHeight="1">
      <c r="T41" s="8"/>
      <c r="U41" s="8"/>
    </row>
    <row r="42" spans="7:21" ht="15.75" customHeight="1">
      <c r="T42" s="5"/>
      <c r="U42" s="5"/>
    </row>
    <row r="43" spans="7:21" ht="15.75" customHeight="1">
      <c r="T43" s="8"/>
      <c r="U43" s="8"/>
    </row>
    <row r="44" spans="7:21" ht="15.75" customHeight="1">
      <c r="T44" s="5"/>
      <c r="U44" s="5"/>
    </row>
    <row r="45" spans="7:21" ht="15.75" customHeight="1">
      <c r="T45" s="8"/>
      <c r="U45" s="8"/>
    </row>
    <row r="46" spans="7:21" ht="15.75" customHeight="1">
      <c r="T46" s="5"/>
      <c r="U46" s="5"/>
    </row>
    <row r="47" spans="7:21" ht="15.75" customHeight="1">
      <c r="T47" s="8"/>
      <c r="U47" s="8"/>
    </row>
    <row r="48" spans="7:21" ht="15.75" customHeight="1">
      <c r="T48" s="5"/>
      <c r="U48" s="5"/>
    </row>
    <row r="49" spans="20:21" ht="15.75" customHeight="1">
      <c r="T49" s="8"/>
      <c r="U49" s="8"/>
    </row>
    <row r="50" spans="20:21" ht="15.75" customHeight="1">
      <c r="T50" s="5"/>
      <c r="U50" s="5"/>
    </row>
    <row r="51" spans="20:21" ht="15.75" customHeight="1">
      <c r="T51" s="8"/>
      <c r="U51" s="8"/>
    </row>
    <row r="52" spans="20:21" ht="15.75" customHeight="1">
      <c r="T52" s="5"/>
      <c r="U52" s="5"/>
    </row>
    <row r="53" spans="20:21" ht="15.75" customHeight="1">
      <c r="T53" s="8"/>
      <c r="U53" s="8"/>
    </row>
    <row r="54" spans="20:21" ht="15.75" customHeight="1">
      <c r="T54" s="5"/>
      <c r="U54" s="5"/>
    </row>
    <row r="55" spans="20:21" ht="15.75" customHeight="1">
      <c r="T55" s="8"/>
      <c r="U55" s="8"/>
    </row>
    <row r="56" spans="20:21" ht="15.75" customHeight="1">
      <c r="T56" s="5"/>
      <c r="U56" s="5"/>
    </row>
    <row r="57" spans="20:21" ht="15.75" customHeight="1">
      <c r="T57" s="5"/>
      <c r="U57" s="5"/>
    </row>
    <row r="58" spans="20:21" ht="15.75" customHeight="1">
      <c r="T58" s="8"/>
      <c r="U58" s="8"/>
    </row>
    <row r="59" spans="20:21" ht="15.75" customHeight="1">
      <c r="T59" s="5"/>
      <c r="U59" s="5"/>
    </row>
    <row r="60" spans="20:21" ht="15.75" customHeight="1">
      <c r="T60" s="5"/>
      <c r="U60" s="5"/>
    </row>
    <row r="61" spans="20:21" ht="15.75" customHeight="1">
      <c r="T61" s="8"/>
      <c r="U61" s="8"/>
    </row>
    <row r="62" spans="20:21" ht="15.75" customHeight="1">
      <c r="T62" s="5"/>
      <c r="U62" s="5"/>
    </row>
    <row r="63" spans="20:21" ht="15.75" customHeight="1">
      <c r="T63" s="8"/>
      <c r="U63" s="8"/>
    </row>
    <row r="64" spans="20:21" ht="15.75" customHeight="1">
      <c r="T64" s="8"/>
      <c r="U64" s="8"/>
    </row>
    <row r="65" spans="20:21" ht="15.75" customHeight="1">
      <c r="T65" s="7"/>
      <c r="U65" s="7"/>
    </row>
    <row r="66" spans="20:21" ht="15.75" customHeight="1">
      <c r="T66" s="5"/>
      <c r="U66" s="5"/>
    </row>
    <row r="67" spans="20:21" ht="15.75" customHeight="1">
      <c r="T67" s="8"/>
      <c r="U67" s="8"/>
    </row>
    <row r="68" spans="20:21" ht="15.75" customHeight="1">
      <c r="T68" s="5"/>
      <c r="U68" s="5"/>
    </row>
    <row r="69" spans="20:21" ht="15.75" customHeight="1">
      <c r="T69" s="8"/>
      <c r="U69" s="8"/>
    </row>
    <row r="70" spans="20:21" ht="15.75" customHeight="1">
      <c r="T70" s="5"/>
      <c r="U70" s="5"/>
    </row>
    <row r="71" spans="20:21" ht="15.75" customHeight="1">
      <c r="T71" s="8"/>
      <c r="U71" s="8"/>
    </row>
    <row r="72" spans="20:21" ht="15.75" customHeight="1">
      <c r="T72" s="5"/>
      <c r="U72" s="5"/>
    </row>
    <row r="73" spans="20:21" ht="15.75" customHeight="1">
      <c r="T73" s="8"/>
      <c r="U73" s="8"/>
    </row>
    <row r="74" spans="20:21" ht="15.75" customHeight="1">
      <c r="T74" s="5"/>
      <c r="U74" s="5"/>
    </row>
    <row r="75" spans="20:21" ht="15.75" customHeight="1">
      <c r="T75" s="8"/>
      <c r="U75" s="8"/>
    </row>
    <row r="76" spans="20:21" ht="15.75" customHeight="1">
      <c r="T76" s="5"/>
      <c r="U76" s="5"/>
    </row>
    <row r="77" spans="20:21" ht="15.75" customHeight="1">
      <c r="T77" s="8"/>
      <c r="U77" s="8"/>
    </row>
    <row r="78" spans="20:21" ht="15.75" customHeight="1">
      <c r="T78" s="5"/>
      <c r="U78" s="5"/>
    </row>
    <row r="79" spans="20:21" ht="15.75" customHeight="1">
      <c r="T79" s="8"/>
      <c r="U79" s="8"/>
    </row>
    <row r="80" spans="20:21" ht="15.75" customHeight="1">
      <c r="T80" s="5"/>
      <c r="U80" s="5"/>
    </row>
    <row r="81" spans="20:21" ht="15.75" customHeight="1">
      <c r="T81" s="8"/>
      <c r="U81" s="8"/>
    </row>
    <row r="82" spans="20:21" ht="15.75" customHeight="1">
      <c r="T82" s="5"/>
      <c r="U82" s="5"/>
    </row>
    <row r="83" spans="20:21" ht="15.75" customHeight="1">
      <c r="T83" s="8"/>
      <c r="U83" s="8"/>
    </row>
    <row r="84" spans="20:21" ht="15.75" customHeight="1">
      <c r="T84" s="5"/>
      <c r="U84" s="5"/>
    </row>
    <row r="85" spans="20:21" ht="15.75" customHeight="1">
      <c r="T85" s="8"/>
      <c r="U85" s="8"/>
    </row>
    <row r="86" spans="20:21" ht="15.75" customHeight="1">
      <c r="T86" s="5"/>
      <c r="U86" s="5"/>
    </row>
    <row r="87" spans="20:21" ht="15.75" customHeight="1">
      <c r="T87" s="8"/>
      <c r="U87" s="8"/>
    </row>
    <row r="88" spans="20:21" ht="15.75" customHeight="1">
      <c r="T88" s="5"/>
      <c r="U88" s="5"/>
    </row>
    <row r="89" spans="20:21" ht="15.75" customHeight="1">
      <c r="T89" s="5"/>
      <c r="U89" s="5"/>
    </row>
    <row r="90" spans="20:21" ht="15.75" customHeight="1">
      <c r="T90" s="8"/>
      <c r="U90" s="8"/>
    </row>
    <row r="91" spans="20:21" ht="15.75" customHeight="1">
      <c r="T91" s="5"/>
      <c r="U91" s="5"/>
    </row>
    <row r="92" spans="20:21" ht="15.75" customHeight="1">
      <c r="T92" s="5"/>
      <c r="U92" s="5"/>
    </row>
    <row r="93" spans="20:21" ht="15.75" customHeight="1">
      <c r="T93" s="8"/>
      <c r="U93" s="8"/>
    </row>
    <row r="94" spans="20:21" ht="15.75" customHeight="1">
      <c r="T94" s="5"/>
      <c r="U94" s="5"/>
    </row>
    <row r="95" spans="20:21" ht="15.75" customHeight="1">
      <c r="T95" s="8"/>
      <c r="U95" s="8"/>
    </row>
    <row r="96" spans="20:21" ht="15.75" customHeight="1">
      <c r="T96" s="8"/>
      <c r="U96" s="8"/>
    </row>
    <row r="97" spans="20:21" ht="15.75" customHeight="1">
      <c r="T97" s="7"/>
      <c r="U97" s="7"/>
    </row>
    <row r="98" spans="20:21" ht="15.75" customHeight="1">
      <c r="T98" s="5"/>
      <c r="U98" s="5"/>
    </row>
    <row r="99" spans="20:21" ht="15.75" customHeight="1">
      <c r="T99" s="8"/>
      <c r="U99" s="8"/>
    </row>
    <row r="100" spans="20:21" ht="15.75" customHeight="1">
      <c r="T100" s="5"/>
      <c r="U100" s="5"/>
    </row>
    <row r="101" spans="20:21" ht="15.75" customHeight="1">
      <c r="T101" s="8"/>
      <c r="U101" s="8"/>
    </row>
    <row r="102" spans="20:21" ht="15.75" customHeight="1">
      <c r="T102" s="5"/>
      <c r="U102" s="5"/>
    </row>
    <row r="103" spans="20:21" ht="15.75" customHeight="1">
      <c r="T103" s="8"/>
      <c r="U103" s="8"/>
    </row>
    <row r="104" spans="20:21" ht="15.75" customHeight="1">
      <c r="T104" s="5"/>
      <c r="U104" s="5"/>
    </row>
    <row r="105" spans="20:21" ht="15.75" customHeight="1">
      <c r="T105" s="8"/>
      <c r="U105" s="8"/>
    </row>
    <row r="106" spans="20:21" ht="15.75" customHeight="1">
      <c r="T106" s="5"/>
      <c r="U106" s="5"/>
    </row>
    <row r="107" spans="20:21" ht="15.75" customHeight="1">
      <c r="T107" s="8"/>
      <c r="U107" s="8"/>
    </row>
    <row r="108" spans="20:21" ht="15.75" customHeight="1">
      <c r="T108" s="5"/>
      <c r="U108" s="5"/>
    </row>
    <row r="109" spans="20:21" ht="15.75" customHeight="1">
      <c r="T109" s="8"/>
      <c r="U109" s="8"/>
    </row>
    <row r="110" spans="20:21" ht="15.75" customHeight="1">
      <c r="T110" s="5"/>
      <c r="U110" s="5"/>
    </row>
    <row r="111" spans="20:21" ht="15.75" customHeight="1">
      <c r="T111" s="8"/>
      <c r="U111" s="8"/>
    </row>
    <row r="112" spans="20:21" ht="15.75" customHeight="1">
      <c r="T112" s="5"/>
      <c r="U112" s="5"/>
    </row>
    <row r="113" spans="20:21" ht="15.75" customHeight="1">
      <c r="T113" s="8"/>
      <c r="U113" s="8"/>
    </row>
    <row r="114" spans="20:21" ht="15.75" customHeight="1">
      <c r="T114" s="5"/>
      <c r="U114" s="5"/>
    </row>
    <row r="115" spans="20:21" ht="15.75" customHeight="1">
      <c r="T115" s="8"/>
      <c r="U115" s="8"/>
    </row>
    <row r="116" spans="20:21" ht="15.75" customHeight="1">
      <c r="T116" s="5"/>
      <c r="U116" s="5"/>
    </row>
    <row r="117" spans="20:21" ht="15.75" customHeight="1">
      <c r="T117" s="8"/>
      <c r="U117" s="8"/>
    </row>
    <row r="118" spans="20:21" ht="15.75" customHeight="1">
      <c r="T118" s="5"/>
      <c r="U118" s="5"/>
    </row>
    <row r="119" spans="20:21" ht="15.75" customHeight="1">
      <c r="T119" s="8"/>
      <c r="U119" s="8"/>
    </row>
    <row r="120" spans="20:21" ht="15.75" customHeight="1">
      <c r="T120" s="5"/>
      <c r="U120" s="5"/>
    </row>
    <row r="121" spans="20:21" ht="15.75" customHeight="1">
      <c r="T121" s="5"/>
      <c r="U121" s="5"/>
    </row>
    <row r="122" spans="20:21" ht="15.75" customHeight="1">
      <c r="T122" s="8"/>
      <c r="U122" s="8"/>
    </row>
    <row r="123" spans="20:21" ht="15.75" customHeight="1">
      <c r="T123" s="5"/>
      <c r="U123" s="5"/>
    </row>
    <row r="124" spans="20:21" ht="15.75" customHeight="1">
      <c r="T124" s="5"/>
      <c r="U124" s="5"/>
    </row>
    <row r="125" spans="20:21" ht="15.75" customHeight="1">
      <c r="T125" s="8"/>
      <c r="U125" s="8"/>
    </row>
    <row r="126" spans="20:21" ht="15.75" customHeight="1">
      <c r="T126" s="5"/>
      <c r="U126" s="5"/>
    </row>
    <row r="127" spans="20:21" ht="15.75" customHeight="1">
      <c r="T127" s="8"/>
      <c r="U127" s="8"/>
    </row>
    <row r="128" spans="20:21" ht="15.75" customHeight="1">
      <c r="T128" s="8"/>
      <c r="U128" s="8"/>
    </row>
    <row r="129" spans="20:21" ht="15.75" customHeight="1">
      <c r="T129" s="7"/>
      <c r="U129" s="7"/>
    </row>
    <row r="130" spans="20:21" ht="15.75" customHeight="1">
      <c r="T130" s="5"/>
      <c r="U130" s="5"/>
    </row>
    <row r="131" spans="20:21" ht="15.75" customHeight="1">
      <c r="T131" s="8"/>
      <c r="U131" s="8"/>
    </row>
    <row r="132" spans="20:21" ht="15.75" customHeight="1">
      <c r="T132" s="5"/>
      <c r="U132" s="5"/>
    </row>
    <row r="133" spans="20:21" ht="15.75" customHeight="1">
      <c r="T133" s="8"/>
      <c r="U133" s="8"/>
    </row>
    <row r="134" spans="20:21" ht="15.75" customHeight="1">
      <c r="T134" s="5"/>
      <c r="U134" s="5"/>
    </row>
    <row r="135" spans="20:21" ht="15.75" customHeight="1">
      <c r="T135" s="8"/>
      <c r="U135" s="8"/>
    </row>
    <row r="136" spans="20:21" ht="15.75" customHeight="1">
      <c r="T136" s="5"/>
      <c r="U136" s="5"/>
    </row>
    <row r="137" spans="20:21" ht="15.75" customHeight="1">
      <c r="T137" s="8"/>
      <c r="U137" s="8"/>
    </row>
    <row r="138" spans="20:21" ht="15.75" customHeight="1">
      <c r="T138" s="5"/>
      <c r="U138" s="5"/>
    </row>
    <row r="139" spans="20:21" ht="15.75" customHeight="1">
      <c r="T139" s="8"/>
      <c r="U139" s="8"/>
    </row>
    <row r="140" spans="20:21" ht="15.75" customHeight="1">
      <c r="T140" s="5"/>
      <c r="U140" s="5"/>
    </row>
    <row r="141" spans="20:21" ht="15.75" customHeight="1">
      <c r="T141" s="8"/>
      <c r="U141" s="8"/>
    </row>
    <row r="142" spans="20:21" ht="15.75" customHeight="1">
      <c r="T142" s="5"/>
      <c r="U142" s="5"/>
    </row>
    <row r="143" spans="20:21" ht="15.75" customHeight="1">
      <c r="T143" s="8"/>
      <c r="U143" s="8"/>
    </row>
    <row r="144" spans="20:21" ht="15.75" customHeight="1">
      <c r="T144" s="5"/>
      <c r="U144" s="5"/>
    </row>
    <row r="145" spans="20:21" ht="15.75" customHeight="1">
      <c r="T145" s="8"/>
      <c r="U145" s="8"/>
    </row>
    <row r="146" spans="20:21" ht="15.75" customHeight="1">
      <c r="T146" s="5"/>
      <c r="U146" s="5"/>
    </row>
    <row r="147" spans="20:21" ht="15.75" customHeight="1">
      <c r="T147" s="8"/>
      <c r="U147" s="8"/>
    </row>
    <row r="148" spans="20:21" ht="15.75" customHeight="1">
      <c r="T148" s="5"/>
      <c r="U148" s="5"/>
    </row>
    <row r="149" spans="20:21" ht="15.75" customHeight="1">
      <c r="T149" s="8"/>
      <c r="U149" s="8"/>
    </row>
    <row r="150" spans="20:21" ht="15.75" customHeight="1">
      <c r="T150" s="5"/>
      <c r="U150" s="5"/>
    </row>
    <row r="151" spans="20:21" ht="15.75" customHeight="1">
      <c r="T151" s="8"/>
      <c r="U151" s="8"/>
    </row>
    <row r="152" spans="20:21" ht="15.75" customHeight="1">
      <c r="T152" s="5"/>
      <c r="U152" s="5"/>
    </row>
    <row r="153" spans="20:21" ht="15.75" customHeight="1">
      <c r="T153" s="5"/>
      <c r="U153" s="5"/>
    </row>
    <row r="154" spans="20:21" ht="15.75" customHeight="1">
      <c r="T154" s="8"/>
      <c r="U154" s="8"/>
    </row>
    <row r="155" spans="20:21" ht="15.75" customHeight="1">
      <c r="T155" s="5"/>
      <c r="U155" s="5"/>
    </row>
    <row r="156" spans="20:21" ht="15.75" customHeight="1">
      <c r="T156" s="5"/>
      <c r="U156" s="5"/>
    </row>
    <row r="157" spans="20:21" ht="15.75" customHeight="1">
      <c r="T157" s="8"/>
      <c r="U157" s="8"/>
    </row>
    <row r="158" spans="20:21" ht="15.75" customHeight="1">
      <c r="T158" s="5"/>
      <c r="U158" s="5"/>
    </row>
    <row r="159" spans="20:21" ht="15.75" customHeight="1">
      <c r="T159" s="8"/>
      <c r="U159" s="8"/>
    </row>
    <row r="160" spans="20:21" ht="15.75" customHeight="1">
      <c r="T160" s="8"/>
      <c r="U160" s="8"/>
    </row>
    <row r="161" spans="20:21" ht="15.75" customHeight="1">
      <c r="T161" s="7"/>
      <c r="U161" s="7"/>
    </row>
    <row r="162" spans="20:21" ht="15.75" customHeight="1">
      <c r="T162" s="5"/>
      <c r="U162" s="5"/>
    </row>
    <row r="163" spans="20:21" ht="15.75" customHeight="1">
      <c r="T163" s="8"/>
      <c r="U163" s="8"/>
    </row>
    <row r="164" spans="20:21" ht="15.75" customHeight="1">
      <c r="T164" s="5"/>
      <c r="U164" s="5"/>
    </row>
    <row r="165" spans="20:21" ht="15.75" customHeight="1">
      <c r="T165" s="8"/>
      <c r="U165" s="8"/>
    </row>
    <row r="166" spans="20:21" ht="15.75" customHeight="1">
      <c r="T166" s="5"/>
      <c r="U166" s="5"/>
    </row>
    <row r="167" spans="20:21" ht="15.75" customHeight="1">
      <c r="T167" s="8"/>
      <c r="U167" s="8"/>
    </row>
    <row r="168" spans="20:21" ht="15.75" customHeight="1">
      <c r="T168" s="5"/>
      <c r="U168" s="5"/>
    </row>
    <row r="169" spans="20:21" ht="15.75" customHeight="1">
      <c r="T169" s="8"/>
      <c r="U169" s="8"/>
    </row>
    <row r="170" spans="20:21" ht="15.75" customHeight="1">
      <c r="T170" s="5"/>
      <c r="U170" s="5"/>
    </row>
    <row r="171" spans="20:21" ht="15.75" customHeight="1">
      <c r="T171" s="8"/>
      <c r="U171" s="8"/>
    </row>
    <row r="172" spans="20:21" ht="15.75" customHeight="1">
      <c r="T172" s="5"/>
      <c r="U172" s="5"/>
    </row>
    <row r="173" spans="20:21" ht="15.75" customHeight="1">
      <c r="T173" s="8"/>
      <c r="U173" s="8"/>
    </row>
    <row r="174" spans="20:21" ht="15.75" customHeight="1">
      <c r="T174" s="5"/>
      <c r="U174" s="5"/>
    </row>
    <row r="175" spans="20:21" ht="15.75" customHeight="1">
      <c r="T175" s="8"/>
      <c r="U175" s="8"/>
    </row>
    <row r="176" spans="20:21" ht="15.75" customHeight="1">
      <c r="T176" s="5"/>
      <c r="U176" s="5"/>
    </row>
    <row r="177" spans="20:21" ht="15.75" customHeight="1">
      <c r="T177" s="8"/>
      <c r="U177" s="8"/>
    </row>
    <row r="178" spans="20:21" ht="15.75" customHeight="1">
      <c r="T178" s="5"/>
      <c r="U178" s="5"/>
    </row>
    <row r="179" spans="20:21" ht="15.75" customHeight="1">
      <c r="T179" s="8"/>
      <c r="U179" s="8"/>
    </row>
    <row r="180" spans="20:21" ht="15.75" customHeight="1">
      <c r="T180" s="5"/>
      <c r="U180" s="5"/>
    </row>
    <row r="181" spans="20:21" ht="15.75" customHeight="1">
      <c r="T181" s="8"/>
      <c r="U181" s="8"/>
    </row>
    <row r="182" spans="20:21" ht="15.75" customHeight="1">
      <c r="T182" s="5"/>
      <c r="U182" s="5"/>
    </row>
    <row r="183" spans="20:21" ht="15.75" customHeight="1">
      <c r="T183" s="8"/>
      <c r="U183" s="8"/>
    </row>
    <row r="184" spans="20:21" ht="15.75" customHeight="1">
      <c r="T184" s="5"/>
      <c r="U184" s="5"/>
    </row>
    <row r="185" spans="20:21" ht="15.75" customHeight="1">
      <c r="T185" s="5"/>
      <c r="U185" s="5"/>
    </row>
    <row r="186" spans="20:21" ht="15.75" customHeight="1">
      <c r="T186" s="8"/>
      <c r="U186" s="8"/>
    </row>
    <row r="187" spans="20:21" ht="15.75" customHeight="1">
      <c r="T187" s="5"/>
      <c r="U187" s="5"/>
    </row>
    <row r="188" spans="20:21" ht="15.75" customHeight="1">
      <c r="T188" s="5"/>
      <c r="U188" s="5"/>
    </row>
    <row r="189" spans="20:21" ht="15.75" customHeight="1">
      <c r="T189" s="8"/>
      <c r="U189" s="8"/>
    </row>
    <row r="190" spans="20:21" ht="15.75" customHeight="1">
      <c r="T190" s="5"/>
      <c r="U190" s="5"/>
    </row>
    <row r="191" spans="20:21" ht="15.75" customHeight="1">
      <c r="T191" s="8"/>
      <c r="U191" s="8"/>
    </row>
    <row r="192" spans="20:21" ht="15.75" customHeight="1">
      <c r="T192" s="8"/>
      <c r="U192" s="8"/>
    </row>
    <row r="193" spans="20:21" ht="15.75" customHeight="1">
      <c r="T193" s="7"/>
      <c r="U193" s="7"/>
    </row>
    <row r="194" spans="20:21" ht="15.75" customHeight="1">
      <c r="T194" s="5"/>
      <c r="U194" s="5"/>
    </row>
    <row r="195" spans="20:21" ht="15.75" customHeight="1">
      <c r="T195" s="8"/>
      <c r="U195" s="8"/>
    </row>
    <row r="196" spans="20:21" ht="15.75" customHeight="1">
      <c r="T196" s="5"/>
      <c r="U196" s="5"/>
    </row>
    <row r="197" spans="20:21" ht="15.75" customHeight="1">
      <c r="T197" s="8"/>
      <c r="U197" s="8"/>
    </row>
    <row r="198" spans="20:21" ht="15.75" customHeight="1">
      <c r="T198" s="5"/>
      <c r="U198" s="5"/>
    </row>
    <row r="199" spans="20:21" ht="15.75" customHeight="1">
      <c r="T199" s="8"/>
      <c r="U199" s="8"/>
    </row>
    <row r="200" spans="20:21" ht="15.75" customHeight="1">
      <c r="T200" s="5"/>
      <c r="U200" s="5"/>
    </row>
    <row r="201" spans="20:21" ht="15.75" customHeight="1">
      <c r="T201" s="8"/>
      <c r="U201" s="8"/>
    </row>
    <row r="202" spans="20:21" ht="15.75" customHeight="1">
      <c r="T202" s="5"/>
      <c r="U202" s="5"/>
    </row>
    <row r="203" spans="20:21" ht="15.75" customHeight="1">
      <c r="T203" s="8"/>
      <c r="U203" s="8"/>
    </row>
    <row r="204" spans="20:21" ht="15.75" customHeight="1">
      <c r="T204" s="5"/>
      <c r="U204" s="5"/>
    </row>
    <row r="205" spans="20:21" ht="15.75" customHeight="1">
      <c r="T205" s="8"/>
      <c r="U205" s="8"/>
    </row>
    <row r="206" spans="20:21" ht="15.75" customHeight="1">
      <c r="T206" s="5"/>
      <c r="U206" s="5"/>
    </row>
    <row r="207" spans="20:21" ht="15.75" customHeight="1">
      <c r="T207" s="8"/>
      <c r="U207" s="8"/>
    </row>
    <row r="208" spans="20:21" ht="15.75" customHeight="1">
      <c r="T208" s="5"/>
      <c r="U208" s="5"/>
    </row>
    <row r="209" spans="20:21" ht="15.75" customHeight="1">
      <c r="T209" s="8"/>
      <c r="U209" s="8"/>
    </row>
    <row r="210" spans="20:21" ht="15.75" customHeight="1">
      <c r="T210" s="5"/>
      <c r="U210" s="5"/>
    </row>
    <row r="211" spans="20:21" ht="15.75" customHeight="1">
      <c r="T211" s="8"/>
      <c r="U211" s="8"/>
    </row>
    <row r="212" spans="20:21" ht="15.75" customHeight="1">
      <c r="T212" s="5"/>
      <c r="U212" s="5"/>
    </row>
    <row r="213" spans="20:21" ht="15.75" customHeight="1">
      <c r="T213" s="8"/>
      <c r="U213" s="8"/>
    </row>
    <row r="214" spans="20:21" ht="15.75" customHeight="1">
      <c r="T214" s="5"/>
      <c r="U214" s="5"/>
    </row>
    <row r="215" spans="20:21" ht="15.75" customHeight="1">
      <c r="T215" s="8"/>
      <c r="U215" s="8"/>
    </row>
    <row r="216" spans="20:21" ht="15.75" customHeight="1">
      <c r="T216" s="5"/>
      <c r="U216" s="5"/>
    </row>
    <row r="217" spans="20:21" ht="15.75" customHeight="1">
      <c r="T217" s="5"/>
      <c r="U217" s="5"/>
    </row>
    <row r="218" spans="20:21" ht="15.75" customHeight="1">
      <c r="T218" s="8"/>
      <c r="U218" s="8"/>
    </row>
    <row r="219" spans="20:21" ht="15.75" customHeight="1">
      <c r="T219" s="5"/>
      <c r="U219" s="5"/>
    </row>
    <row r="220" spans="20:21" ht="15.75" customHeight="1">
      <c r="T220" s="5"/>
      <c r="U220" s="5"/>
    </row>
    <row r="221" spans="20:21" ht="15.75" customHeight="1">
      <c r="T221" s="8"/>
      <c r="U221" s="8"/>
    </row>
    <row r="222" spans="20:21" ht="15.75" customHeight="1">
      <c r="T222" s="5"/>
      <c r="U222" s="5"/>
    </row>
    <row r="223" spans="20:21" ht="15.75" customHeight="1">
      <c r="T223" s="8"/>
      <c r="U223" s="8"/>
    </row>
    <row r="224" spans="20:21" ht="15.75" customHeight="1">
      <c r="T224" s="8"/>
      <c r="U224" s="8"/>
    </row>
    <row r="225" spans="20:21" ht="15.75" customHeight="1">
      <c r="T225" s="7"/>
      <c r="U225" s="7"/>
    </row>
    <row r="226" spans="20:21" ht="15.75" customHeight="1">
      <c r="T226" s="5"/>
      <c r="U226" s="5"/>
    </row>
    <row r="227" spans="20:21" ht="15.75" customHeight="1">
      <c r="T227" s="8"/>
      <c r="U227" s="8"/>
    </row>
    <row r="228" spans="20:21" ht="15.75" customHeight="1">
      <c r="T228" s="5"/>
      <c r="U228" s="5"/>
    </row>
    <row r="229" spans="20:21" ht="15.75" customHeight="1">
      <c r="T229" s="8"/>
      <c r="U229" s="8"/>
    </row>
    <row r="230" spans="20:21" ht="15.75" customHeight="1">
      <c r="T230" s="5"/>
      <c r="U230" s="5"/>
    </row>
    <row r="231" spans="20:21" ht="15.75" customHeight="1">
      <c r="T231" s="8"/>
      <c r="U231" s="8"/>
    </row>
    <row r="232" spans="20:21" ht="15.75" customHeight="1">
      <c r="T232" s="5"/>
      <c r="U232" s="5"/>
    </row>
    <row r="233" spans="20:21" ht="15.75" customHeight="1">
      <c r="T233" s="8"/>
      <c r="U233" s="8"/>
    </row>
    <row r="234" spans="20:21" ht="15.75" customHeight="1">
      <c r="T234" s="5"/>
      <c r="U234" s="5"/>
    </row>
    <row r="235" spans="20:21" ht="15.75" customHeight="1">
      <c r="T235" s="8"/>
      <c r="U235" s="8"/>
    </row>
    <row r="236" spans="20:21" ht="15.75" customHeight="1">
      <c r="T236" s="5"/>
      <c r="U236" s="5"/>
    </row>
    <row r="237" spans="20:21" ht="15.75" customHeight="1">
      <c r="T237" s="8"/>
      <c r="U237" s="8"/>
    </row>
    <row r="238" spans="20:21" ht="15.75" customHeight="1">
      <c r="T238" s="5"/>
      <c r="U238" s="5"/>
    </row>
    <row r="239" spans="20:21" ht="15.75" customHeight="1">
      <c r="T239" s="8"/>
      <c r="U239" s="8"/>
    </row>
    <row r="240" spans="20:21" ht="15.75" customHeight="1">
      <c r="T240" s="5"/>
      <c r="U240" s="5"/>
    </row>
    <row r="241" spans="20:21" ht="15.75" customHeight="1">
      <c r="T241" s="8"/>
      <c r="U241" s="8"/>
    </row>
    <row r="242" spans="20:21" ht="15.75" customHeight="1">
      <c r="T242" s="5"/>
      <c r="U242" s="5"/>
    </row>
    <row r="243" spans="20:21" ht="15.75" customHeight="1">
      <c r="T243" s="8"/>
      <c r="U243" s="8"/>
    </row>
    <row r="244" spans="20:21" ht="15.75" customHeight="1">
      <c r="T244" s="5"/>
      <c r="U244" s="5"/>
    </row>
    <row r="245" spans="20:21" ht="15.75" customHeight="1">
      <c r="T245" s="8"/>
      <c r="U245" s="8"/>
    </row>
    <row r="246" spans="20:21" ht="15.75" customHeight="1">
      <c r="T246" s="5"/>
      <c r="U246" s="5"/>
    </row>
    <row r="247" spans="20:21" ht="15.75" customHeight="1">
      <c r="T247" s="8"/>
      <c r="U247" s="8"/>
    </row>
    <row r="248" spans="20:21" ht="15.75" customHeight="1">
      <c r="T248" s="5"/>
      <c r="U248" s="5"/>
    </row>
    <row r="249" spans="20:21" ht="15.75" customHeight="1">
      <c r="T249" s="5"/>
      <c r="U249" s="5"/>
    </row>
    <row r="250" spans="20:21" ht="15.75" customHeight="1">
      <c r="T250" s="8"/>
      <c r="U250" s="8"/>
    </row>
    <row r="251" spans="20:21" ht="15.75" customHeight="1">
      <c r="T251" s="5"/>
      <c r="U251" s="5"/>
    </row>
    <row r="252" spans="20:21" ht="15.75" customHeight="1">
      <c r="T252" s="5"/>
      <c r="U252" s="5"/>
    </row>
    <row r="253" spans="20:21" ht="15.75" customHeight="1">
      <c r="T253" s="8"/>
      <c r="U253" s="8"/>
    </row>
    <row r="254" spans="20:21" ht="15.75" customHeight="1">
      <c r="T254" s="5"/>
      <c r="U254" s="5"/>
    </row>
    <row r="255" spans="20:21" ht="15.75" customHeight="1">
      <c r="T255" s="8"/>
      <c r="U255" s="8"/>
    </row>
    <row r="256" spans="20:21" ht="15.75" customHeight="1">
      <c r="T256" s="8"/>
      <c r="U256" s="8"/>
    </row>
    <row r="257" spans="20:21" ht="15.75" customHeight="1">
      <c r="T257" s="7"/>
      <c r="U257" s="7"/>
    </row>
    <row r="258" spans="20:21" ht="15.75" customHeight="1">
      <c r="T258" s="5"/>
      <c r="U258" s="5"/>
    </row>
    <row r="259" spans="20:21" ht="15.75" customHeight="1">
      <c r="T259" s="8"/>
      <c r="U259" s="8"/>
    </row>
    <row r="260" spans="20:21" ht="15.75" customHeight="1">
      <c r="T260" s="5"/>
      <c r="U260" s="5"/>
    </row>
    <row r="261" spans="20:21" ht="15.75" customHeight="1">
      <c r="T261" s="8"/>
      <c r="U261" s="8"/>
    </row>
    <row r="262" spans="20:21" ht="15.75" customHeight="1">
      <c r="T262" s="5"/>
      <c r="U262" s="5"/>
    </row>
    <row r="263" spans="20:21" ht="15.75" customHeight="1">
      <c r="T263" s="8"/>
      <c r="U263" s="8"/>
    </row>
    <row r="264" spans="20:21" ht="15.75" customHeight="1">
      <c r="T264" s="5"/>
      <c r="U264" s="5"/>
    </row>
    <row r="265" spans="20:21" ht="15.75" customHeight="1">
      <c r="T265" s="8"/>
      <c r="U265" s="8"/>
    </row>
    <row r="266" spans="20:21" ht="15.75" customHeight="1">
      <c r="T266" s="5"/>
      <c r="U266" s="5"/>
    </row>
    <row r="267" spans="20:21" ht="15.75" customHeight="1">
      <c r="T267" s="8"/>
      <c r="U267" s="8"/>
    </row>
    <row r="268" spans="20:21" ht="15.75" customHeight="1">
      <c r="T268" s="5"/>
      <c r="U268" s="5"/>
    </row>
    <row r="269" spans="20:21" ht="15.75" customHeight="1">
      <c r="T269" s="8"/>
      <c r="U269" s="8"/>
    </row>
    <row r="270" spans="20:21" ht="15.75" customHeight="1">
      <c r="T270" s="5"/>
      <c r="U270" s="5"/>
    </row>
    <row r="271" spans="20:21" ht="15.75" customHeight="1">
      <c r="T271" s="8"/>
      <c r="U271" s="8"/>
    </row>
    <row r="272" spans="20:21" ht="15.75" customHeight="1">
      <c r="T272" s="5"/>
      <c r="U272" s="5"/>
    </row>
    <row r="273" spans="20:21" ht="15.75" customHeight="1">
      <c r="T273" s="8"/>
      <c r="U273" s="8"/>
    </row>
    <row r="274" spans="20:21" ht="15.75" customHeight="1">
      <c r="T274" s="5"/>
      <c r="U274" s="5"/>
    </row>
    <row r="275" spans="20:21" ht="15.75" customHeight="1">
      <c r="T275" s="8"/>
      <c r="U275" s="8"/>
    </row>
    <row r="276" spans="20:21" ht="15.75" customHeight="1">
      <c r="T276" s="5"/>
      <c r="U276" s="5"/>
    </row>
    <row r="277" spans="20:21" ht="15.75" customHeight="1">
      <c r="T277" s="8"/>
      <c r="U277" s="8"/>
    </row>
    <row r="278" spans="20:21" ht="15.75" customHeight="1">
      <c r="T278" s="5"/>
      <c r="U278" s="5"/>
    </row>
    <row r="279" spans="20:21" ht="15.75" customHeight="1">
      <c r="T279" s="8"/>
      <c r="U279" s="8"/>
    </row>
    <row r="280" spans="20:21" ht="15.75" customHeight="1">
      <c r="T280" s="5"/>
      <c r="U280" s="5"/>
    </row>
    <row r="281" spans="20:21" ht="15.75" customHeight="1">
      <c r="T281" s="5"/>
      <c r="U281" s="5"/>
    </row>
    <row r="282" spans="20:21" ht="15.75" customHeight="1">
      <c r="T282" s="8"/>
      <c r="U282" s="8"/>
    </row>
    <row r="283" spans="20:21" ht="15.75" customHeight="1">
      <c r="T283" s="5"/>
      <c r="U283" s="5"/>
    </row>
    <row r="284" spans="20:21" ht="15.75" customHeight="1">
      <c r="T284" s="5"/>
      <c r="U284" s="5"/>
    </row>
    <row r="285" spans="20:21" ht="15.75" customHeight="1">
      <c r="T285" s="8"/>
      <c r="U285" s="8"/>
    </row>
    <row r="286" spans="20:21" ht="15.75" customHeight="1">
      <c r="T286" s="5"/>
      <c r="U286" s="5"/>
    </row>
    <row r="287" spans="20:21" ht="15.75" customHeight="1">
      <c r="T287" s="8"/>
      <c r="U287" s="8"/>
    </row>
    <row r="288" spans="20:21" ht="15.75" customHeight="1">
      <c r="T288" s="8"/>
      <c r="U288" s="8"/>
    </row>
    <row r="289" spans="20:21" ht="15.75" customHeight="1">
      <c r="T289" s="7"/>
      <c r="U289" s="7"/>
    </row>
    <row r="290" spans="20:21" ht="15.75" customHeight="1">
      <c r="T290" s="5"/>
      <c r="U290" s="5"/>
    </row>
    <row r="291" spans="20:21" ht="15.75" customHeight="1">
      <c r="T291" s="8"/>
      <c r="U291" s="8"/>
    </row>
    <row r="292" spans="20:21" ht="15.75" customHeight="1">
      <c r="T292" s="5"/>
      <c r="U292" s="5"/>
    </row>
    <row r="293" spans="20:21" ht="15.75" customHeight="1">
      <c r="T293" s="8"/>
      <c r="U293" s="8"/>
    </row>
    <row r="294" spans="20:21" ht="15.75" customHeight="1">
      <c r="T294" s="5"/>
      <c r="U294" s="5"/>
    </row>
    <row r="295" spans="20:21" ht="15.75" customHeight="1">
      <c r="T295" s="8"/>
      <c r="U295" s="8"/>
    </row>
    <row r="296" spans="20:21" ht="15.75" customHeight="1">
      <c r="T296" s="5"/>
      <c r="U296" s="5"/>
    </row>
    <row r="297" spans="20:21" ht="15.75" customHeight="1">
      <c r="T297" s="8"/>
      <c r="U297" s="8"/>
    </row>
    <row r="298" spans="20:21" ht="15.75" customHeight="1">
      <c r="T298" s="5"/>
      <c r="U298" s="5"/>
    </row>
    <row r="299" spans="20:21" ht="15.75" customHeight="1">
      <c r="T299" s="8"/>
      <c r="U299" s="8"/>
    </row>
    <row r="300" spans="20:21" ht="15.75" customHeight="1">
      <c r="T300" s="5"/>
      <c r="U300" s="5"/>
    </row>
    <row r="301" spans="20:21" ht="15.75" customHeight="1">
      <c r="T301" s="8"/>
      <c r="U301" s="8"/>
    </row>
    <row r="302" spans="20:21" ht="15.75" customHeight="1">
      <c r="T302" s="5"/>
      <c r="U302" s="5"/>
    </row>
    <row r="303" spans="20:21" ht="15.75" customHeight="1">
      <c r="T303" s="8"/>
      <c r="U303" s="8"/>
    </row>
    <row r="304" spans="20:21" ht="15.75" customHeight="1">
      <c r="T304" s="5"/>
      <c r="U304" s="5"/>
    </row>
    <row r="305" spans="20:21" ht="15.75" customHeight="1">
      <c r="T305" s="8"/>
      <c r="U305" s="8"/>
    </row>
    <row r="306" spans="20:21" ht="15.75" customHeight="1">
      <c r="T306" s="5"/>
      <c r="U306" s="5"/>
    </row>
    <row r="307" spans="20:21" ht="15.75" customHeight="1">
      <c r="T307" s="8"/>
      <c r="U307" s="8"/>
    </row>
    <row r="308" spans="20:21" ht="15.75" customHeight="1">
      <c r="T308" s="5"/>
      <c r="U308" s="5"/>
    </row>
    <row r="309" spans="20:21" ht="15.75" customHeight="1">
      <c r="T309" s="8"/>
      <c r="U309" s="8"/>
    </row>
    <row r="310" spans="20:21" ht="15.75" customHeight="1">
      <c r="T310" s="5"/>
      <c r="U310" s="5"/>
    </row>
    <row r="311" spans="20:21" ht="15.75" customHeight="1">
      <c r="T311" s="8"/>
      <c r="U311" s="8"/>
    </row>
    <row r="312" spans="20:21" ht="15.75" customHeight="1">
      <c r="T312" s="5"/>
      <c r="U312" s="5"/>
    </row>
    <row r="313" spans="20:21" ht="15.75" customHeight="1">
      <c r="T313" s="5"/>
      <c r="U313" s="5"/>
    </row>
    <row r="314" spans="20:21" ht="15.75" customHeight="1">
      <c r="T314" s="8"/>
      <c r="U314" s="8"/>
    </row>
    <row r="315" spans="20:21" ht="15.75" customHeight="1">
      <c r="T315" s="5"/>
      <c r="U315" s="5"/>
    </row>
    <row r="316" spans="20:21" ht="15.75" customHeight="1">
      <c r="T316" s="5"/>
      <c r="U316" s="5"/>
    </row>
    <row r="317" spans="20:21" ht="15.75" customHeight="1">
      <c r="T317" s="8"/>
      <c r="U317" s="8"/>
    </row>
    <row r="318" spans="20:21" ht="15.75" customHeight="1">
      <c r="T318" s="5"/>
      <c r="U318" s="5"/>
    </row>
    <row r="319" spans="20:21" ht="15.75" customHeight="1">
      <c r="T319" s="8"/>
      <c r="U319" s="8"/>
    </row>
    <row r="320" spans="20:21" ht="15.75" customHeight="1">
      <c r="T320" s="8"/>
      <c r="U320" s="8"/>
    </row>
    <row r="321" spans="20:21" ht="15.75" customHeight="1">
      <c r="T321" s="7"/>
      <c r="U321" s="7"/>
    </row>
    <row r="322" spans="20:21" ht="15.75" customHeight="1">
      <c r="T322" s="5"/>
      <c r="U322" s="5"/>
    </row>
    <row r="323" spans="20:21" ht="15.75" customHeight="1">
      <c r="T323" s="8"/>
      <c r="U323" s="8"/>
    </row>
    <row r="324" spans="20:21" ht="15.75" customHeight="1">
      <c r="T324" s="5"/>
      <c r="U324" s="5"/>
    </row>
    <row r="325" spans="20:21" ht="15.75" customHeight="1">
      <c r="T325" s="8"/>
      <c r="U325" s="8"/>
    </row>
    <row r="326" spans="20:21" ht="15.75" customHeight="1">
      <c r="T326" s="5"/>
      <c r="U326" s="5"/>
    </row>
    <row r="327" spans="20:21" ht="15.75" customHeight="1">
      <c r="T327" s="8"/>
      <c r="U327" s="8"/>
    </row>
    <row r="328" spans="20:21" ht="15.75" customHeight="1">
      <c r="T328" s="5"/>
      <c r="U328" s="5"/>
    </row>
    <row r="329" spans="20:21" ht="15.75" customHeight="1">
      <c r="T329" s="8"/>
      <c r="U329" s="8"/>
    </row>
    <row r="330" spans="20:21" ht="15.75" customHeight="1">
      <c r="T330" s="5"/>
      <c r="U330" s="5"/>
    </row>
    <row r="331" spans="20:21" ht="15.75" customHeight="1">
      <c r="T331" s="8"/>
      <c r="U331" s="8"/>
    </row>
    <row r="332" spans="20:21" ht="15.75" customHeight="1">
      <c r="T332" s="5"/>
      <c r="U332" s="5"/>
    </row>
    <row r="333" spans="20:21" ht="15.75" customHeight="1">
      <c r="T333" s="8"/>
      <c r="U333" s="8"/>
    </row>
    <row r="334" spans="20:21" ht="15.75" customHeight="1">
      <c r="T334" s="5"/>
      <c r="U334" s="5"/>
    </row>
    <row r="335" spans="20:21" ht="15.75" customHeight="1">
      <c r="T335" s="8"/>
      <c r="U335" s="8"/>
    </row>
    <row r="336" spans="20:21" ht="15.75" customHeight="1">
      <c r="T336" s="5"/>
      <c r="U336" s="5"/>
    </row>
    <row r="337" spans="20:21" ht="15.75" customHeight="1">
      <c r="T337" s="8"/>
      <c r="U337" s="8"/>
    </row>
    <row r="338" spans="20:21" ht="15.75" customHeight="1">
      <c r="T338" s="5"/>
      <c r="U338" s="5"/>
    </row>
    <row r="339" spans="20:21" ht="15.75" customHeight="1">
      <c r="T339" s="8"/>
      <c r="U339" s="8"/>
    </row>
    <row r="340" spans="20:21" ht="15.75" customHeight="1">
      <c r="T340" s="5"/>
      <c r="U340" s="5"/>
    </row>
    <row r="341" spans="20:21" ht="15.75" customHeight="1">
      <c r="T341" s="8"/>
      <c r="U341" s="8"/>
    </row>
    <row r="342" spans="20:21" ht="15.75" customHeight="1">
      <c r="T342" s="5"/>
      <c r="U342" s="5"/>
    </row>
    <row r="343" spans="20:21" ht="15.75" customHeight="1">
      <c r="T343" s="8"/>
      <c r="U343" s="8"/>
    </row>
    <row r="344" spans="20:21" ht="15.75" customHeight="1">
      <c r="T344" s="5"/>
      <c r="U344" s="5"/>
    </row>
    <row r="345" spans="20:21" ht="15.75" customHeight="1">
      <c r="T345" s="5"/>
      <c r="U345" s="5"/>
    </row>
    <row r="346" spans="20:21" ht="15.75" customHeight="1">
      <c r="T346" s="8"/>
      <c r="U346" s="8"/>
    </row>
    <row r="347" spans="20:21" ht="15.75" customHeight="1">
      <c r="T347" s="5"/>
      <c r="U347" s="5"/>
    </row>
    <row r="348" spans="20:21" ht="15.75" customHeight="1">
      <c r="T348" s="5"/>
      <c r="U348" s="5"/>
    </row>
    <row r="349" spans="20:21" ht="15.75" customHeight="1">
      <c r="T349" s="8"/>
      <c r="U349" s="8"/>
    </row>
    <row r="350" spans="20:21" ht="15.75" customHeight="1">
      <c r="T350" s="5"/>
      <c r="U350" s="5"/>
    </row>
    <row r="351" spans="20:21" ht="15.75" customHeight="1">
      <c r="T351" s="8"/>
      <c r="U351" s="8"/>
    </row>
    <row r="352" spans="20:21" ht="15.75" customHeight="1">
      <c r="T352" s="8"/>
      <c r="U352" s="8"/>
    </row>
    <row r="353" spans="20:21" ht="15.75" customHeight="1">
      <c r="T353" s="7"/>
      <c r="U353" s="7"/>
    </row>
    <row r="354" spans="20:21" ht="15.75" customHeight="1">
      <c r="T354" s="5"/>
      <c r="U354" s="5"/>
    </row>
    <row r="355" spans="20:21" ht="15.75" customHeight="1">
      <c r="T355" s="8"/>
      <c r="U355" s="8"/>
    </row>
    <row r="356" spans="20:21" ht="15.75" customHeight="1">
      <c r="T356" s="5"/>
      <c r="U356" s="5"/>
    </row>
    <row r="357" spans="20:21" ht="15.75" customHeight="1">
      <c r="T357" s="8"/>
      <c r="U357" s="8"/>
    </row>
    <row r="358" spans="20:21" ht="15.75" customHeight="1">
      <c r="T358" s="5"/>
      <c r="U358" s="5"/>
    </row>
    <row r="359" spans="20:21" ht="15.75" customHeight="1">
      <c r="T359" s="8"/>
      <c r="U359" s="8"/>
    </row>
    <row r="360" spans="20:21" ht="15.75" customHeight="1">
      <c r="T360" s="5"/>
      <c r="U360" s="5"/>
    </row>
    <row r="361" spans="20:21" ht="15.75" customHeight="1">
      <c r="T361" s="8"/>
      <c r="U361" s="8"/>
    </row>
    <row r="362" spans="20:21" ht="15.75" customHeight="1">
      <c r="T362" s="5"/>
      <c r="U362" s="5"/>
    </row>
    <row r="363" spans="20:21" ht="15.75" customHeight="1">
      <c r="T363" s="8"/>
      <c r="U363" s="8"/>
    </row>
    <row r="364" spans="20:21" ht="15.75" customHeight="1">
      <c r="T364" s="5"/>
      <c r="U364" s="5"/>
    </row>
    <row r="365" spans="20:21" ht="15.75" customHeight="1">
      <c r="T365" s="8"/>
      <c r="U365" s="8"/>
    </row>
    <row r="366" spans="20:21" ht="15.75" customHeight="1">
      <c r="T366" s="5"/>
      <c r="U366" s="5"/>
    </row>
    <row r="367" spans="20:21" ht="15.75" customHeight="1">
      <c r="T367" s="8"/>
      <c r="U367" s="8"/>
    </row>
    <row r="368" spans="20:21" ht="15.75" customHeight="1">
      <c r="T368" s="5"/>
      <c r="U368" s="5"/>
    </row>
    <row r="369" spans="20:21" ht="15.75" customHeight="1">
      <c r="T369" s="8"/>
      <c r="U369" s="8"/>
    </row>
    <row r="370" spans="20:21" ht="15.75" customHeight="1">
      <c r="T370" s="5"/>
      <c r="U370" s="5"/>
    </row>
    <row r="371" spans="20:21" ht="15.75" customHeight="1">
      <c r="T371" s="8"/>
      <c r="U371" s="8"/>
    </row>
    <row r="372" spans="20:21" ht="15.75" customHeight="1">
      <c r="T372" s="5"/>
      <c r="U372" s="5"/>
    </row>
    <row r="373" spans="20:21" ht="15.75" customHeight="1">
      <c r="T373" s="8"/>
      <c r="U373" s="8"/>
    </row>
    <row r="374" spans="20:21" ht="15.75" customHeight="1">
      <c r="T374" s="5"/>
      <c r="U374" s="5"/>
    </row>
    <row r="375" spans="20:21" ht="15.75" customHeight="1">
      <c r="T375" s="8"/>
      <c r="U375" s="8"/>
    </row>
    <row r="376" spans="20:21" ht="15.75" customHeight="1">
      <c r="T376" s="5"/>
      <c r="U376" s="5"/>
    </row>
    <row r="377" spans="20:21" ht="15.75" customHeight="1">
      <c r="T377" s="5"/>
      <c r="U377" s="5"/>
    </row>
    <row r="378" spans="20:21" ht="15.75" customHeight="1">
      <c r="T378" s="8"/>
      <c r="U378" s="8"/>
    </row>
    <row r="379" spans="20:21" ht="15.75" customHeight="1">
      <c r="T379" s="5"/>
      <c r="U379" s="5"/>
    </row>
    <row r="380" spans="20:21" ht="15.75" customHeight="1">
      <c r="T380" s="5"/>
      <c r="U380" s="5"/>
    </row>
    <row r="381" spans="20:21" ht="15.75" customHeight="1">
      <c r="T381" s="8"/>
      <c r="U381" s="8"/>
    </row>
    <row r="382" spans="20:21" ht="15.75" customHeight="1">
      <c r="T382" s="5"/>
      <c r="U382" s="5"/>
    </row>
    <row r="383" spans="20:21" ht="15.75" customHeight="1">
      <c r="T383" s="8"/>
      <c r="U383" s="8"/>
    </row>
    <row r="384" spans="20:21" ht="15.75" customHeight="1">
      <c r="T384" s="8"/>
      <c r="U384" s="8"/>
    </row>
    <row r="385" spans="20:21" ht="15.75" customHeight="1">
      <c r="T385" s="7"/>
      <c r="U385" s="7"/>
    </row>
    <row r="386" spans="20:21" ht="15.75" customHeight="1">
      <c r="T386" s="5"/>
      <c r="U386" s="5"/>
    </row>
    <row r="387" spans="20:21" ht="15.75" customHeight="1">
      <c r="T387" s="8"/>
      <c r="U387" s="8"/>
    </row>
    <row r="388" spans="20:21" ht="15.75" customHeight="1">
      <c r="T388" s="5"/>
      <c r="U388" s="5"/>
    </row>
    <row r="389" spans="20:21" ht="15.75" customHeight="1">
      <c r="T389" s="8"/>
      <c r="U389" s="8"/>
    </row>
    <row r="390" spans="20:21" ht="15.75" customHeight="1">
      <c r="T390" s="5"/>
      <c r="U390" s="5"/>
    </row>
    <row r="391" spans="20:21" ht="15.75" customHeight="1">
      <c r="T391" s="8"/>
      <c r="U391" s="8"/>
    </row>
    <row r="392" spans="20:21" ht="15.75" customHeight="1">
      <c r="T392" s="5"/>
      <c r="U392" s="5"/>
    </row>
    <row r="393" spans="20:21" ht="15.75" customHeight="1">
      <c r="T393" s="8"/>
      <c r="U393" s="8"/>
    </row>
    <row r="394" spans="20:21" ht="15.75" customHeight="1">
      <c r="T394" s="5"/>
      <c r="U394" s="5"/>
    </row>
    <row r="395" spans="20:21" ht="15.75" customHeight="1">
      <c r="T395" s="8"/>
      <c r="U395" s="8"/>
    </row>
    <row r="396" spans="20:21" ht="15.75" customHeight="1">
      <c r="T396" s="5"/>
      <c r="U396" s="5"/>
    </row>
    <row r="397" spans="20:21" ht="15.75" customHeight="1">
      <c r="T397" s="8"/>
      <c r="U397" s="8"/>
    </row>
    <row r="398" spans="20:21" ht="15.75" customHeight="1">
      <c r="T398" s="5"/>
      <c r="U398" s="5"/>
    </row>
    <row r="399" spans="20:21" ht="15.75" customHeight="1">
      <c r="T399" s="8"/>
      <c r="U399" s="8"/>
    </row>
    <row r="400" spans="20:21" ht="15.75" customHeight="1">
      <c r="T400" s="5"/>
      <c r="U400" s="5"/>
    </row>
    <row r="401" spans="20:21" ht="15.75" customHeight="1">
      <c r="T401" s="8"/>
      <c r="U401" s="8"/>
    </row>
    <row r="402" spans="20:21" ht="15.75" customHeight="1">
      <c r="T402" s="5"/>
      <c r="U402" s="5"/>
    </row>
    <row r="403" spans="20:21" ht="15.75" customHeight="1">
      <c r="T403" s="8"/>
      <c r="U403" s="8"/>
    </row>
    <row r="404" spans="20:21" ht="15.75" customHeight="1">
      <c r="T404" s="5"/>
      <c r="U404" s="5"/>
    </row>
    <row r="405" spans="20:21" ht="15.75" customHeight="1">
      <c r="T405" s="8"/>
      <c r="U405" s="8"/>
    </row>
    <row r="406" spans="20:21" ht="15.75" customHeight="1">
      <c r="T406" s="5"/>
      <c r="U406" s="5"/>
    </row>
    <row r="407" spans="20:21" ht="15.75" customHeight="1">
      <c r="T407" s="8"/>
      <c r="U407" s="8"/>
    </row>
    <row r="408" spans="20:21" ht="15.75" customHeight="1">
      <c r="T408" s="5"/>
      <c r="U408" s="5"/>
    </row>
    <row r="409" spans="20:21" ht="15.75" customHeight="1">
      <c r="T409" s="5"/>
      <c r="U409" s="5"/>
    </row>
    <row r="410" spans="20:21" ht="15.75" customHeight="1">
      <c r="T410" s="8"/>
      <c r="U410" s="8"/>
    </row>
    <row r="411" spans="20:21" ht="15.75" customHeight="1">
      <c r="T411" s="5"/>
      <c r="U411" s="5"/>
    </row>
    <row r="412" spans="20:21" ht="15.75" customHeight="1">
      <c r="T412" s="5"/>
      <c r="U412" s="5"/>
    </row>
    <row r="413" spans="20:21" ht="15.75" customHeight="1">
      <c r="T413" s="8"/>
      <c r="U413" s="8"/>
    </row>
    <row r="414" spans="20:21" ht="15.75" customHeight="1">
      <c r="T414" s="5"/>
      <c r="U414" s="5"/>
    </row>
    <row r="415" spans="20:21" ht="15.75" customHeight="1">
      <c r="T415" s="8"/>
      <c r="U415" s="8"/>
    </row>
    <row r="416" spans="20:21" ht="15.75" customHeight="1">
      <c r="T416" s="8"/>
      <c r="U416" s="8"/>
    </row>
    <row r="417" spans="20:21" ht="15.75" customHeight="1">
      <c r="T417" s="7"/>
      <c r="U417" s="7"/>
    </row>
    <row r="418" spans="20:21" ht="15.75" customHeight="1">
      <c r="T418" s="5"/>
      <c r="U418" s="5"/>
    </row>
    <row r="419" spans="20:21" ht="15.75" customHeight="1">
      <c r="T419" s="8"/>
      <c r="U419" s="8"/>
    </row>
    <row r="420" spans="20:21" ht="15.75" customHeight="1">
      <c r="T420" s="5"/>
      <c r="U420" s="5"/>
    </row>
    <row r="421" spans="20:21" ht="15.75" customHeight="1">
      <c r="T421" s="8"/>
      <c r="U421" s="8"/>
    </row>
    <row r="422" spans="20:21" ht="15.75" customHeight="1">
      <c r="T422" s="5"/>
      <c r="U422" s="5"/>
    </row>
    <row r="423" spans="20:21" ht="15.75" customHeight="1">
      <c r="T423" s="8"/>
      <c r="U423" s="8"/>
    </row>
    <row r="424" spans="20:21" ht="15.75" customHeight="1">
      <c r="T424" s="5"/>
      <c r="U424" s="5"/>
    </row>
    <row r="425" spans="20:21" ht="15.75" customHeight="1">
      <c r="T425" s="8"/>
      <c r="U425" s="8"/>
    </row>
    <row r="426" spans="20:21" ht="15.75" customHeight="1">
      <c r="T426" s="5"/>
      <c r="U426" s="5"/>
    </row>
    <row r="427" spans="20:21" ht="15.75" customHeight="1">
      <c r="T427" s="8"/>
      <c r="U427" s="8"/>
    </row>
    <row r="428" spans="20:21" ht="15.75" customHeight="1">
      <c r="T428" s="5"/>
      <c r="U428" s="5"/>
    </row>
    <row r="429" spans="20:21" ht="15.75" customHeight="1">
      <c r="T429" s="8"/>
      <c r="U429" s="8"/>
    </row>
    <row r="430" spans="20:21" ht="15.75" customHeight="1">
      <c r="T430" s="5"/>
      <c r="U430" s="5"/>
    </row>
    <row r="431" spans="20:21" ht="15.75" customHeight="1">
      <c r="T431" s="8"/>
      <c r="U431" s="8"/>
    </row>
    <row r="432" spans="20:21" ht="15.75" customHeight="1">
      <c r="T432" s="5"/>
      <c r="U432" s="5"/>
    </row>
    <row r="433" spans="20:21" ht="15.75" customHeight="1">
      <c r="T433" s="8"/>
      <c r="U433" s="8"/>
    </row>
    <row r="434" spans="20:21" ht="15.75" customHeight="1">
      <c r="T434" s="5"/>
      <c r="U434" s="5"/>
    </row>
    <row r="435" spans="20:21" ht="15.75" customHeight="1">
      <c r="T435" s="8"/>
      <c r="U435" s="8"/>
    </row>
    <row r="436" spans="20:21" ht="15.75" customHeight="1">
      <c r="T436" s="5"/>
      <c r="U436" s="5"/>
    </row>
    <row r="437" spans="20:21" ht="15.75" customHeight="1">
      <c r="T437" s="8"/>
      <c r="U437" s="8"/>
    </row>
    <row r="438" spans="20:21" ht="15.75" customHeight="1">
      <c r="T438" s="5"/>
      <c r="U438" s="5"/>
    </row>
    <row r="439" spans="20:21" ht="15.75" customHeight="1">
      <c r="T439" s="8"/>
      <c r="U439" s="8"/>
    </row>
    <row r="440" spans="20:21" ht="15.75" customHeight="1">
      <c r="T440" s="5"/>
      <c r="U440" s="5"/>
    </row>
    <row r="441" spans="20:21" ht="15.75" customHeight="1">
      <c r="T441" s="5"/>
      <c r="U441" s="5"/>
    </row>
    <row r="442" spans="20:21" ht="15.75" customHeight="1">
      <c r="T442" s="8"/>
      <c r="U442" s="8"/>
    </row>
    <row r="443" spans="20:21" ht="15.75" customHeight="1">
      <c r="T443" s="5"/>
      <c r="U443" s="5"/>
    </row>
    <row r="444" spans="20:21" ht="15.75" customHeight="1">
      <c r="T444" s="5"/>
      <c r="U444" s="5"/>
    </row>
    <row r="445" spans="20:21" ht="15.75" customHeight="1">
      <c r="T445" s="8"/>
      <c r="U445" s="8"/>
    </row>
    <row r="446" spans="20:21" ht="15.75" customHeight="1">
      <c r="T446" s="5"/>
      <c r="U446" s="5"/>
    </row>
    <row r="447" spans="20:21" ht="15.75" customHeight="1">
      <c r="T447" s="8"/>
      <c r="U447" s="8"/>
    </row>
    <row r="448" spans="20:21" ht="15.75" customHeight="1">
      <c r="T448" s="8"/>
      <c r="U448" s="8"/>
    </row>
    <row r="449" spans="20:21" ht="15.75" customHeight="1">
      <c r="T449" s="7"/>
      <c r="U449" s="7"/>
    </row>
    <row r="450" spans="20:21" ht="15.75" customHeight="1">
      <c r="T450" s="5"/>
      <c r="U450" s="5"/>
    </row>
    <row r="451" spans="20:21" ht="15.75" customHeight="1">
      <c r="T451" s="8"/>
      <c r="U451" s="8"/>
    </row>
    <row r="452" spans="20:21" ht="15.75" customHeight="1">
      <c r="T452" s="5"/>
      <c r="U452" s="5"/>
    </row>
    <row r="453" spans="20:21" ht="15.75" customHeight="1">
      <c r="T453" s="8"/>
      <c r="U453" s="8"/>
    </row>
    <row r="454" spans="20:21" ht="15.75" customHeight="1">
      <c r="T454" s="5"/>
      <c r="U454" s="5"/>
    </row>
    <row r="455" spans="20:21" ht="15.75" customHeight="1">
      <c r="T455" s="8"/>
      <c r="U455" s="8"/>
    </row>
    <row r="456" spans="20:21" ht="15.75" customHeight="1">
      <c r="T456" s="5"/>
      <c r="U456" s="5"/>
    </row>
    <row r="457" spans="20:21" ht="15.75" customHeight="1">
      <c r="T457" s="8"/>
      <c r="U457" s="8"/>
    </row>
    <row r="458" spans="20:21" ht="15.75" customHeight="1">
      <c r="T458" s="5"/>
      <c r="U458" s="5"/>
    </row>
    <row r="459" spans="20:21" ht="15.75" customHeight="1">
      <c r="T459" s="8"/>
      <c r="U459" s="8"/>
    </row>
    <row r="460" spans="20:21" ht="15.75" customHeight="1">
      <c r="T460" s="5"/>
      <c r="U460" s="5"/>
    </row>
    <row r="461" spans="20:21" ht="15.75" customHeight="1">
      <c r="T461" s="8"/>
      <c r="U461" s="8"/>
    </row>
    <row r="462" spans="20:21" ht="15.75" customHeight="1">
      <c r="T462" s="5"/>
      <c r="U462" s="5"/>
    </row>
    <row r="463" spans="20:21" ht="15.75" customHeight="1">
      <c r="T463" s="8"/>
      <c r="U463" s="8"/>
    </row>
    <row r="464" spans="20:21" ht="15.75" customHeight="1">
      <c r="T464" s="5"/>
      <c r="U464" s="5"/>
    </row>
    <row r="465" spans="20:21" ht="15.75" customHeight="1">
      <c r="T465" s="8"/>
      <c r="U465" s="8"/>
    </row>
    <row r="466" spans="20:21" ht="15.75" customHeight="1">
      <c r="T466" s="5"/>
      <c r="U466" s="5"/>
    </row>
    <row r="467" spans="20:21" ht="15.75" customHeight="1">
      <c r="T467" s="8"/>
      <c r="U467" s="8"/>
    </row>
    <row r="468" spans="20:21" ht="15.75" customHeight="1">
      <c r="T468" s="5"/>
      <c r="U468" s="5"/>
    </row>
    <row r="469" spans="20:21" ht="15.75" customHeight="1">
      <c r="T469" s="8"/>
      <c r="U469" s="8"/>
    </row>
    <row r="470" spans="20:21" ht="15.75" customHeight="1">
      <c r="T470" s="5"/>
      <c r="U470" s="5"/>
    </row>
    <row r="471" spans="20:21" ht="15.75" customHeight="1">
      <c r="T471" s="8"/>
      <c r="U471" s="8"/>
    </row>
    <row r="472" spans="20:21" ht="15.75" customHeight="1">
      <c r="T472" s="5"/>
      <c r="U472" s="5"/>
    </row>
    <row r="473" spans="20:21" ht="15.75" customHeight="1">
      <c r="T473" s="5"/>
      <c r="U473" s="5"/>
    </row>
    <row r="474" spans="20:21" ht="15.75" customHeight="1">
      <c r="T474" s="8"/>
      <c r="U474" s="8"/>
    </row>
    <row r="475" spans="20:21" ht="15.75" customHeight="1">
      <c r="T475" s="5"/>
      <c r="U475" s="5"/>
    </row>
    <row r="476" spans="20:21" ht="15.75" customHeight="1">
      <c r="T476" s="5"/>
      <c r="U476" s="5"/>
    </row>
    <row r="477" spans="20:21" ht="15.75" customHeight="1">
      <c r="T477" s="8"/>
      <c r="U477" s="8"/>
    </row>
    <row r="478" spans="20:21" ht="15.75" customHeight="1">
      <c r="T478" s="5"/>
      <c r="U478" s="5"/>
    </row>
    <row r="479" spans="20:21" ht="15.75" customHeight="1">
      <c r="T479" s="8"/>
      <c r="U479" s="8"/>
    </row>
    <row r="480" spans="20:21" ht="15.75" customHeight="1">
      <c r="T480" s="8"/>
      <c r="U480" s="8"/>
    </row>
    <row r="481" spans="20:21" ht="15.75" customHeight="1">
      <c r="T481" s="7"/>
      <c r="U481" s="7"/>
    </row>
    <row r="482" spans="20:21" ht="15.75" customHeight="1">
      <c r="T482" s="5"/>
      <c r="U482" s="5"/>
    </row>
    <row r="483" spans="20:21" ht="15.75" customHeight="1">
      <c r="T483" s="8"/>
      <c r="U483" s="8"/>
    </row>
    <row r="484" spans="20:21" ht="15.75" customHeight="1">
      <c r="T484" s="5"/>
      <c r="U484" s="5"/>
    </row>
    <row r="485" spans="20:21" ht="15.75" customHeight="1">
      <c r="T485" s="8"/>
      <c r="U485" s="8"/>
    </row>
    <row r="486" spans="20:21" ht="15.75" customHeight="1">
      <c r="T486" s="5"/>
      <c r="U486" s="5"/>
    </row>
    <row r="487" spans="20:21" ht="15.75" customHeight="1">
      <c r="T487" s="8"/>
      <c r="U487" s="8"/>
    </row>
    <row r="488" spans="20:21" ht="15.75" customHeight="1">
      <c r="T488" s="5"/>
      <c r="U488" s="5"/>
    </row>
    <row r="489" spans="20:21" ht="15.75" customHeight="1">
      <c r="T489" s="8"/>
      <c r="U489" s="8"/>
    </row>
    <row r="490" spans="20:21" ht="15.75" customHeight="1">
      <c r="T490" s="5"/>
      <c r="U490" s="5"/>
    </row>
    <row r="491" spans="20:21" ht="15.75" customHeight="1">
      <c r="T491" s="8"/>
      <c r="U491" s="8"/>
    </row>
    <row r="492" spans="20:21" ht="15.75" customHeight="1">
      <c r="T492" s="5"/>
      <c r="U492" s="5"/>
    </row>
    <row r="493" spans="20:21" ht="15.75" customHeight="1">
      <c r="T493" s="8"/>
      <c r="U493" s="8"/>
    </row>
    <row r="494" spans="20:21" ht="15.75" customHeight="1">
      <c r="T494" s="5"/>
      <c r="U494" s="5"/>
    </row>
    <row r="495" spans="20:21" ht="15.75" customHeight="1">
      <c r="T495" s="8"/>
      <c r="U495" s="8"/>
    </row>
    <row r="496" spans="20:21" ht="15.75" customHeight="1">
      <c r="T496" s="5"/>
      <c r="U496" s="5"/>
    </row>
    <row r="497" spans="20:21" ht="15.75" customHeight="1">
      <c r="T497" s="8"/>
      <c r="U497" s="8"/>
    </row>
    <row r="498" spans="20:21" ht="15.75" customHeight="1">
      <c r="T498" s="5"/>
      <c r="U498" s="5"/>
    </row>
    <row r="499" spans="20:21" ht="15.75" customHeight="1">
      <c r="T499" s="8"/>
      <c r="U499" s="8"/>
    </row>
    <row r="500" spans="20:21" ht="15.75" customHeight="1">
      <c r="T500" s="5"/>
      <c r="U500" s="5"/>
    </row>
    <row r="501" spans="20:21" ht="15.75" customHeight="1">
      <c r="T501" s="8"/>
      <c r="U501" s="8"/>
    </row>
    <row r="502" spans="20:21" ht="15.75" customHeight="1">
      <c r="T502" s="5"/>
      <c r="U502" s="5"/>
    </row>
    <row r="503" spans="20:21" ht="15.75" customHeight="1">
      <c r="T503" s="8"/>
      <c r="U503" s="8"/>
    </row>
    <row r="504" spans="20:21" ht="15.75" customHeight="1">
      <c r="T504" s="5"/>
      <c r="U504" s="5"/>
    </row>
    <row r="505" spans="20:21" ht="15.75" customHeight="1">
      <c r="T505" s="5"/>
      <c r="U505" s="5"/>
    </row>
    <row r="506" spans="20:21" ht="15.75" customHeight="1">
      <c r="T506" s="8"/>
      <c r="U506" s="8"/>
    </row>
    <row r="507" spans="20:21" ht="15.75" customHeight="1">
      <c r="T507" s="5"/>
      <c r="U507" s="5"/>
    </row>
    <row r="508" spans="20:21" ht="15.75" customHeight="1">
      <c r="T508" s="5"/>
      <c r="U508" s="5"/>
    </row>
    <row r="509" spans="20:21" ht="15.75" customHeight="1">
      <c r="T509" s="8"/>
      <c r="U509" s="8"/>
    </row>
    <row r="510" spans="20:21" ht="15.75" customHeight="1">
      <c r="T510" s="5"/>
      <c r="U510" s="5"/>
    </row>
    <row r="511" spans="20:21" ht="15.75" customHeight="1">
      <c r="T511" s="8"/>
      <c r="U511" s="8"/>
    </row>
    <row r="512" spans="20:21" ht="15.75" customHeight="1">
      <c r="T512" s="8"/>
      <c r="U512" s="8"/>
    </row>
    <row r="513" spans="20:21" ht="15.75" customHeight="1">
      <c r="T513" s="7"/>
      <c r="U513" s="7"/>
    </row>
    <row r="514" spans="20:21" ht="15.75" customHeight="1">
      <c r="T514" s="5"/>
      <c r="U514" s="5"/>
    </row>
    <row r="515" spans="20:21" ht="15.75" customHeight="1">
      <c r="T515" s="8"/>
      <c r="U515" s="8"/>
    </row>
    <row r="516" spans="20:21" ht="15.75" customHeight="1">
      <c r="T516" s="5"/>
      <c r="U516" s="5"/>
    </row>
    <row r="517" spans="20:21" ht="15.75" customHeight="1">
      <c r="T517" s="8"/>
      <c r="U517" s="8"/>
    </row>
    <row r="518" spans="20:21" ht="15.75" customHeight="1">
      <c r="T518" s="5"/>
      <c r="U518" s="5"/>
    </row>
    <row r="519" spans="20:21" ht="15.75" customHeight="1">
      <c r="T519" s="8"/>
      <c r="U519" s="8"/>
    </row>
    <row r="520" spans="20:21" ht="15.75" customHeight="1">
      <c r="T520" s="5"/>
      <c r="U520" s="5"/>
    </row>
    <row r="521" spans="20:21" ht="15.75" customHeight="1">
      <c r="T521" s="8"/>
      <c r="U521" s="8"/>
    </row>
    <row r="522" spans="20:21" ht="15.75" customHeight="1">
      <c r="T522" s="5"/>
      <c r="U522" s="5"/>
    </row>
    <row r="523" spans="20:21" ht="15.75" customHeight="1">
      <c r="T523" s="8"/>
      <c r="U523" s="8"/>
    </row>
    <row r="524" spans="20:21" ht="15.75" customHeight="1">
      <c r="T524" s="5"/>
      <c r="U524" s="5"/>
    </row>
    <row r="525" spans="20:21" ht="15.75" customHeight="1">
      <c r="T525" s="8"/>
      <c r="U525" s="8"/>
    </row>
    <row r="526" spans="20:21" ht="15.75" customHeight="1">
      <c r="T526" s="5"/>
      <c r="U526" s="5"/>
    </row>
    <row r="527" spans="20:21" ht="15.75" customHeight="1">
      <c r="T527" s="8"/>
      <c r="U527" s="8"/>
    </row>
    <row r="528" spans="20:21" ht="15.75" customHeight="1">
      <c r="T528" s="5"/>
      <c r="U528" s="5"/>
    </row>
    <row r="529" spans="20:21" ht="15.75" customHeight="1">
      <c r="T529" s="8"/>
      <c r="U529" s="8"/>
    </row>
    <row r="530" spans="20:21" ht="15.75" customHeight="1">
      <c r="T530" s="5"/>
      <c r="U530" s="5"/>
    </row>
    <row r="531" spans="20:21" ht="15.75" customHeight="1">
      <c r="T531" s="8"/>
      <c r="U531" s="8"/>
    </row>
    <row r="532" spans="20:21" ht="15.75" customHeight="1">
      <c r="T532" s="5"/>
      <c r="U532" s="5"/>
    </row>
    <row r="533" spans="20:21" ht="15.75" customHeight="1">
      <c r="T533" s="8"/>
      <c r="U533" s="8"/>
    </row>
    <row r="534" spans="20:21" ht="15.75" customHeight="1">
      <c r="T534" s="5"/>
      <c r="U534" s="5"/>
    </row>
    <row r="535" spans="20:21" ht="15.75" customHeight="1">
      <c r="T535" s="8"/>
      <c r="U535" s="8"/>
    </row>
    <row r="536" spans="20:21" ht="15.75" customHeight="1">
      <c r="T536" s="5"/>
      <c r="U536" s="5"/>
    </row>
    <row r="537" spans="20:21" ht="15.75" customHeight="1">
      <c r="T537" s="5"/>
      <c r="U537" s="5"/>
    </row>
    <row r="538" spans="20:21" ht="15.75" customHeight="1">
      <c r="T538" s="8"/>
      <c r="U538" s="8"/>
    </row>
    <row r="539" spans="20:21" ht="15.75" customHeight="1">
      <c r="T539" s="5"/>
      <c r="U539" s="5"/>
    </row>
    <row r="540" spans="20:21" ht="15.75" customHeight="1">
      <c r="T540" s="5"/>
      <c r="U540" s="5"/>
    </row>
    <row r="541" spans="20:21" ht="15.75" customHeight="1">
      <c r="T541" s="8"/>
      <c r="U541" s="8"/>
    </row>
    <row r="542" spans="20:21" ht="15.75" customHeight="1">
      <c r="T542" s="5"/>
      <c r="U542" s="5"/>
    </row>
    <row r="543" spans="20:21" ht="15.75" customHeight="1">
      <c r="T543" s="8"/>
      <c r="U543" s="8"/>
    </row>
    <row r="544" spans="20:21" ht="15.75" customHeight="1">
      <c r="T544" s="8"/>
      <c r="U544" s="8"/>
    </row>
    <row r="545" spans="20:21" ht="15.75" customHeight="1">
      <c r="T545" s="7"/>
      <c r="U545" s="7"/>
    </row>
    <row r="546" spans="20:21" ht="15.75" customHeight="1">
      <c r="T546" s="5"/>
      <c r="U546" s="5"/>
    </row>
    <row r="547" spans="20:21" ht="15.75" customHeight="1">
      <c r="T547" s="8"/>
      <c r="U547" s="8"/>
    </row>
    <row r="548" spans="20:21" ht="15.75" customHeight="1">
      <c r="T548" s="5"/>
      <c r="U548" s="5"/>
    </row>
    <row r="549" spans="20:21" ht="15.75" customHeight="1">
      <c r="T549" s="8"/>
      <c r="U549" s="8"/>
    </row>
    <row r="550" spans="20:21" ht="15.75" customHeight="1">
      <c r="T550" s="5"/>
      <c r="U550" s="5"/>
    </row>
    <row r="551" spans="20:21" ht="15.75" customHeight="1">
      <c r="T551" s="8"/>
      <c r="U551" s="8"/>
    </row>
    <row r="552" spans="20:21" ht="15.75" customHeight="1">
      <c r="T552" s="5"/>
      <c r="U552" s="5"/>
    </row>
    <row r="553" spans="20:21" ht="15.75" customHeight="1">
      <c r="T553" s="8"/>
      <c r="U553" s="8"/>
    </row>
    <row r="554" spans="20:21" ht="15.75" customHeight="1">
      <c r="T554" s="5"/>
      <c r="U554" s="5"/>
    </row>
    <row r="555" spans="20:21" ht="15.75" customHeight="1">
      <c r="T555" s="8"/>
      <c r="U555" s="8"/>
    </row>
    <row r="556" spans="20:21" ht="15.75" customHeight="1">
      <c r="T556" s="5"/>
      <c r="U556" s="5"/>
    </row>
    <row r="557" spans="20:21" ht="15.75" customHeight="1">
      <c r="T557" s="8"/>
      <c r="U557" s="8"/>
    </row>
    <row r="558" spans="20:21" ht="15.75" customHeight="1">
      <c r="T558" s="5"/>
      <c r="U558" s="5"/>
    </row>
    <row r="559" spans="20:21" ht="15.75" customHeight="1">
      <c r="T559" s="8"/>
      <c r="U559" s="8"/>
    </row>
    <row r="560" spans="20:21" ht="15.75" customHeight="1">
      <c r="T560" s="5"/>
      <c r="U560" s="5"/>
    </row>
    <row r="561" spans="20:21" ht="15.75" customHeight="1">
      <c r="T561" s="8"/>
      <c r="U561" s="8"/>
    </row>
    <row r="562" spans="20:21" ht="15.75" customHeight="1">
      <c r="T562" s="5"/>
      <c r="U562" s="5"/>
    </row>
    <row r="563" spans="20:21" ht="15.75" customHeight="1">
      <c r="T563" s="8"/>
      <c r="U563" s="8"/>
    </row>
    <row r="564" spans="20:21" ht="15.75" customHeight="1">
      <c r="T564" s="5"/>
      <c r="U564" s="5"/>
    </row>
    <row r="565" spans="20:21" ht="15.75" customHeight="1">
      <c r="T565" s="8"/>
      <c r="U565" s="8"/>
    </row>
    <row r="566" spans="20:21" ht="15.75" customHeight="1">
      <c r="T566" s="5"/>
      <c r="U566" s="5"/>
    </row>
    <row r="567" spans="20:21" ht="15.75" customHeight="1">
      <c r="T567" s="8"/>
      <c r="U567" s="8"/>
    </row>
    <row r="568" spans="20:21" ht="15.75" customHeight="1">
      <c r="T568" s="5"/>
      <c r="U568" s="5"/>
    </row>
    <row r="569" spans="20:21" ht="15.75" customHeight="1">
      <c r="T569" s="5"/>
      <c r="U569" s="5"/>
    </row>
    <row r="570" spans="20:21" ht="15.75" customHeight="1">
      <c r="T570" s="8"/>
      <c r="U570" s="8"/>
    </row>
    <row r="571" spans="20:21" ht="15.75" customHeight="1">
      <c r="T571" s="5"/>
      <c r="U571" s="5"/>
    </row>
    <row r="572" spans="20:21" ht="15.75" customHeight="1">
      <c r="T572" s="5"/>
      <c r="U572" s="5"/>
    </row>
    <row r="573" spans="20:21" ht="15.75" customHeight="1">
      <c r="T573" s="8"/>
      <c r="U573" s="8"/>
    </row>
    <row r="574" spans="20:21" ht="15.75" customHeight="1">
      <c r="T574" s="5"/>
      <c r="U574" s="5"/>
    </row>
    <row r="575" spans="20:21" ht="15.75" customHeight="1">
      <c r="T575" s="8"/>
      <c r="U575" s="8"/>
    </row>
    <row r="576" spans="20:21" ht="15.75" customHeight="1">
      <c r="T576" s="8"/>
      <c r="U576" s="8"/>
    </row>
    <row r="577" spans="20:21" ht="15.75" customHeight="1">
      <c r="T577" s="7"/>
      <c r="U577" s="7"/>
    </row>
    <row r="578" spans="20:21" ht="15.75" customHeight="1">
      <c r="T578" s="5"/>
      <c r="U578" s="5"/>
    </row>
    <row r="579" spans="20:21" ht="15.75" customHeight="1">
      <c r="T579" s="8"/>
      <c r="U579" s="8"/>
    </row>
    <row r="580" spans="20:21" ht="15.75" customHeight="1">
      <c r="T580" s="5"/>
      <c r="U580" s="5"/>
    </row>
    <row r="581" spans="20:21" ht="15.75" customHeight="1">
      <c r="T581" s="8"/>
      <c r="U581" s="8"/>
    </row>
    <row r="582" spans="20:21" ht="15.75" customHeight="1">
      <c r="T582" s="5"/>
      <c r="U582" s="5"/>
    </row>
    <row r="583" spans="20:21" ht="15.75" customHeight="1">
      <c r="T583" s="8"/>
      <c r="U583" s="8"/>
    </row>
    <row r="584" spans="20:21" ht="15.75" customHeight="1">
      <c r="T584" s="5"/>
      <c r="U584" s="5"/>
    </row>
    <row r="585" spans="20:21" ht="15.75" customHeight="1">
      <c r="T585" s="8"/>
      <c r="U585" s="8"/>
    </row>
    <row r="586" spans="20:21" ht="15.75" customHeight="1">
      <c r="T586" s="5"/>
      <c r="U586" s="5"/>
    </row>
    <row r="587" spans="20:21" ht="15.75" customHeight="1">
      <c r="T587" s="8"/>
      <c r="U587" s="8"/>
    </row>
    <row r="588" spans="20:21" ht="15.75" customHeight="1">
      <c r="T588" s="5"/>
      <c r="U588" s="5"/>
    </row>
    <row r="589" spans="20:21" ht="15.75" customHeight="1">
      <c r="T589" s="8"/>
      <c r="U589" s="8"/>
    </row>
    <row r="590" spans="20:21" ht="15.75" customHeight="1">
      <c r="T590" s="5"/>
      <c r="U590" s="5"/>
    </row>
    <row r="591" spans="20:21" ht="15.75" customHeight="1">
      <c r="T591" s="8"/>
      <c r="U591" s="8"/>
    </row>
    <row r="592" spans="20:21" ht="15.75" customHeight="1">
      <c r="T592" s="5"/>
      <c r="U592" s="5"/>
    </row>
    <row r="593" spans="20:21" ht="15.75" customHeight="1">
      <c r="T593" s="8"/>
      <c r="U593" s="8"/>
    </row>
    <row r="594" spans="20:21" ht="15.75" customHeight="1">
      <c r="T594" s="5"/>
      <c r="U594" s="5"/>
    </row>
    <row r="595" spans="20:21" ht="15.75" customHeight="1">
      <c r="T595" s="8"/>
      <c r="U595" s="8"/>
    </row>
    <row r="596" spans="20:21" ht="15.75" customHeight="1">
      <c r="T596" s="5"/>
      <c r="U596" s="5"/>
    </row>
    <row r="597" spans="20:21" ht="15.75" customHeight="1">
      <c r="T597" s="8"/>
      <c r="U597" s="8"/>
    </row>
    <row r="598" spans="20:21" ht="15.75" customHeight="1">
      <c r="T598" s="5"/>
      <c r="U598" s="5"/>
    </row>
    <row r="599" spans="20:21" ht="15.75" customHeight="1">
      <c r="T599" s="8"/>
      <c r="U599" s="8"/>
    </row>
    <row r="600" spans="20:21" ht="15.75" customHeight="1">
      <c r="T600" s="5"/>
      <c r="U600" s="5"/>
    </row>
    <row r="601" spans="20:21" ht="15.75" customHeight="1">
      <c r="T601" s="5"/>
      <c r="U601" s="5"/>
    </row>
    <row r="602" spans="20:21" ht="15.75" customHeight="1">
      <c r="T602" s="8"/>
      <c r="U602" s="8"/>
    </row>
    <row r="603" spans="20:21" ht="15.75" customHeight="1">
      <c r="T603" s="5"/>
      <c r="U603" s="5"/>
    </row>
    <row r="604" spans="20:21" ht="15.75" customHeight="1">
      <c r="T604" s="5"/>
      <c r="U604" s="5"/>
    </row>
    <row r="605" spans="20:21" ht="15.75" customHeight="1">
      <c r="T605" s="8"/>
      <c r="U605" s="8"/>
    </row>
    <row r="606" spans="20:21" ht="15.75" customHeight="1">
      <c r="T606" s="5"/>
      <c r="U606" s="5"/>
    </row>
    <row r="607" spans="20:21" ht="15.75" customHeight="1">
      <c r="T607" s="8"/>
      <c r="U607" s="8"/>
    </row>
    <row r="608" spans="20:21" ht="15.75" customHeight="1">
      <c r="T608" s="8"/>
      <c r="U608" s="8"/>
    </row>
    <row r="609" spans="20:21" ht="15.75" customHeight="1">
      <c r="T609" s="7"/>
      <c r="U609" s="7"/>
    </row>
    <row r="610" spans="20:21" ht="15.75" customHeight="1">
      <c r="T610" s="5"/>
      <c r="U610" s="5"/>
    </row>
    <row r="611" spans="20:21" ht="15.75" customHeight="1">
      <c r="T611" s="8"/>
      <c r="U611" s="8"/>
    </row>
    <row r="612" spans="20:21" ht="15.75" customHeight="1">
      <c r="T612" s="5"/>
      <c r="U612" s="5"/>
    </row>
    <row r="613" spans="20:21" ht="15.75" customHeight="1">
      <c r="T613" s="8"/>
      <c r="U613" s="8"/>
    </row>
    <row r="614" spans="20:21" ht="15.75" customHeight="1">
      <c r="T614" s="5"/>
      <c r="U614" s="5"/>
    </row>
    <row r="615" spans="20:21" ht="15.75" customHeight="1">
      <c r="T615" s="8"/>
      <c r="U615" s="8"/>
    </row>
    <row r="616" spans="20:21" ht="15.75" customHeight="1">
      <c r="T616" s="5"/>
      <c r="U616" s="5"/>
    </row>
    <row r="617" spans="20:21" ht="15.75" customHeight="1">
      <c r="T617" s="8"/>
      <c r="U617" s="8"/>
    </row>
    <row r="618" spans="20:21" ht="15.75" customHeight="1">
      <c r="T618" s="5"/>
      <c r="U618" s="5"/>
    </row>
    <row r="619" spans="20:21" ht="15.75" customHeight="1">
      <c r="T619" s="8"/>
      <c r="U619" s="8"/>
    </row>
    <row r="620" spans="20:21" ht="15.75" customHeight="1">
      <c r="T620" s="5"/>
      <c r="U620" s="5"/>
    </row>
    <row r="621" spans="20:21" ht="15.75" customHeight="1">
      <c r="T621" s="8"/>
      <c r="U621" s="8"/>
    </row>
    <row r="622" spans="20:21" ht="15.75" customHeight="1">
      <c r="T622" s="5"/>
      <c r="U622" s="5"/>
    </row>
    <row r="623" spans="20:21" ht="15.75" customHeight="1">
      <c r="T623" s="8"/>
      <c r="U623" s="8"/>
    </row>
    <row r="624" spans="20:21" ht="15.75" customHeight="1">
      <c r="T624" s="5"/>
      <c r="U624" s="5"/>
    </row>
    <row r="625" spans="20:21" ht="15.75" customHeight="1">
      <c r="T625" s="8"/>
      <c r="U625" s="8"/>
    </row>
    <row r="626" spans="20:21" ht="15.75" customHeight="1">
      <c r="T626" s="5"/>
      <c r="U626" s="5"/>
    </row>
    <row r="627" spans="20:21" ht="15.75" customHeight="1">
      <c r="T627" s="8"/>
      <c r="U627" s="8"/>
    </row>
    <row r="628" spans="20:21" ht="15.75" customHeight="1">
      <c r="T628" s="5"/>
      <c r="U628" s="5"/>
    </row>
    <row r="629" spans="20:21" ht="15.75" customHeight="1">
      <c r="T629" s="8"/>
      <c r="U629" s="8"/>
    </row>
    <row r="630" spans="20:21" ht="15.75" customHeight="1">
      <c r="T630" s="5"/>
      <c r="U630" s="5"/>
    </row>
    <row r="631" spans="20:21" ht="15.75" customHeight="1">
      <c r="T631" s="8"/>
      <c r="U631" s="8"/>
    </row>
    <row r="632" spans="20:21" ht="15.75" customHeight="1">
      <c r="T632" s="5"/>
      <c r="U632" s="5"/>
    </row>
    <row r="633" spans="20:21" ht="15.75" customHeight="1">
      <c r="T633" s="5"/>
      <c r="U633" s="5"/>
    </row>
    <row r="634" spans="20:21" ht="15.75" customHeight="1">
      <c r="T634" s="8"/>
      <c r="U634" s="8"/>
    </row>
    <row r="635" spans="20:21" ht="15.75" customHeight="1">
      <c r="T635" s="5"/>
      <c r="U635" s="5"/>
    </row>
    <row r="636" spans="20:21" ht="15.75" customHeight="1">
      <c r="T636" s="5"/>
      <c r="U636" s="5"/>
    </row>
    <row r="637" spans="20:21" ht="15.75" customHeight="1">
      <c r="T637" s="8"/>
      <c r="U637" s="8"/>
    </row>
    <row r="638" spans="20:21" ht="15.75" customHeight="1">
      <c r="T638" s="5"/>
      <c r="U638" s="5"/>
    </row>
    <row r="639" spans="20:21" ht="15.75" customHeight="1">
      <c r="T639" s="8"/>
      <c r="U639" s="8"/>
    </row>
    <row r="640" spans="20:21" ht="15.75" customHeight="1">
      <c r="T640" s="8"/>
      <c r="U640" s="8"/>
    </row>
    <row r="641" spans="20:21" ht="15.75" customHeight="1">
      <c r="T641" s="7"/>
      <c r="U641" s="7"/>
    </row>
    <row r="642" spans="20:21" ht="15.75" customHeight="1">
      <c r="T642" s="5"/>
      <c r="U642" s="5"/>
    </row>
    <row r="643" spans="20:21" ht="15.75" customHeight="1">
      <c r="T643" s="8"/>
      <c r="U643" s="8"/>
    </row>
    <row r="644" spans="20:21" ht="15.75" customHeight="1">
      <c r="T644" s="5"/>
      <c r="U644" s="5"/>
    </row>
    <row r="645" spans="20:21" ht="15.75" customHeight="1">
      <c r="T645" s="8"/>
      <c r="U645" s="8"/>
    </row>
    <row r="646" spans="20:21" ht="15.75" customHeight="1">
      <c r="T646" s="5"/>
      <c r="U646" s="5"/>
    </row>
    <row r="647" spans="20:21" ht="15.75" customHeight="1">
      <c r="T647" s="8"/>
      <c r="U647" s="8"/>
    </row>
    <row r="648" spans="20:21" ht="15.75" customHeight="1">
      <c r="T648" s="5"/>
      <c r="U648" s="5"/>
    </row>
    <row r="649" spans="20:21" ht="15.75" customHeight="1">
      <c r="T649" s="8"/>
      <c r="U649" s="8"/>
    </row>
    <row r="650" spans="20:21" ht="15.75" customHeight="1">
      <c r="T650" s="5"/>
      <c r="U650" s="5"/>
    </row>
    <row r="651" spans="20:21" ht="15.75" customHeight="1">
      <c r="T651" s="8"/>
      <c r="U651" s="8"/>
    </row>
    <row r="652" spans="20:21" ht="15.75" customHeight="1">
      <c r="T652" s="5"/>
      <c r="U652" s="5"/>
    </row>
    <row r="653" spans="20:21" ht="15.75" customHeight="1">
      <c r="T653" s="8"/>
      <c r="U653" s="8"/>
    </row>
    <row r="654" spans="20:21" ht="15.75" customHeight="1">
      <c r="T654" s="5"/>
      <c r="U654" s="5"/>
    </row>
    <row r="655" spans="20:21" ht="15.75" customHeight="1">
      <c r="T655" s="8"/>
      <c r="U655" s="8"/>
    </row>
    <row r="656" spans="20:21" ht="15.75" customHeight="1">
      <c r="T656" s="5"/>
      <c r="U656" s="5"/>
    </row>
    <row r="657" spans="20:21" ht="15.75" customHeight="1">
      <c r="T657" s="8"/>
      <c r="U657" s="8"/>
    </row>
    <row r="658" spans="20:21" ht="15.75" customHeight="1">
      <c r="T658" s="5"/>
      <c r="U658" s="5"/>
    </row>
    <row r="659" spans="20:21" ht="15.75" customHeight="1">
      <c r="T659" s="8"/>
      <c r="U659" s="8"/>
    </row>
    <row r="660" spans="20:21" ht="15.75" customHeight="1">
      <c r="T660" s="5"/>
      <c r="U660" s="5"/>
    </row>
    <row r="661" spans="20:21" ht="15.75" customHeight="1">
      <c r="T661" s="8"/>
      <c r="U661" s="8"/>
    </row>
    <row r="662" spans="20:21" ht="15.75" customHeight="1">
      <c r="T662" s="5"/>
      <c r="U662" s="5"/>
    </row>
    <row r="663" spans="20:21" ht="15.75" customHeight="1">
      <c r="T663" s="8"/>
      <c r="U663" s="8"/>
    </row>
    <row r="664" spans="20:21" ht="15.75" customHeight="1">
      <c r="T664" s="5"/>
      <c r="U664" s="5"/>
    </row>
    <row r="665" spans="20:21" ht="15.75" customHeight="1">
      <c r="T665" s="5"/>
      <c r="U665" s="5"/>
    </row>
    <row r="666" spans="20:21" ht="15.75" customHeight="1">
      <c r="T666" s="8"/>
      <c r="U666" s="8"/>
    </row>
    <row r="667" spans="20:21" ht="15.75" customHeight="1">
      <c r="T667" s="5"/>
      <c r="U667" s="5"/>
    </row>
    <row r="668" spans="20:21" ht="15.75" customHeight="1">
      <c r="T668" s="5"/>
      <c r="U668" s="5"/>
    </row>
    <row r="669" spans="20:21" ht="15.75" customHeight="1">
      <c r="T669" s="8"/>
      <c r="U669" s="8"/>
    </row>
    <row r="670" spans="20:21" ht="15.75" customHeight="1">
      <c r="T670" s="5"/>
      <c r="U670" s="5"/>
    </row>
    <row r="671" spans="20:21" ht="15.75" customHeight="1">
      <c r="T671" s="8"/>
      <c r="U671" s="8"/>
    </row>
    <row r="672" spans="20:21" ht="15.75" customHeight="1">
      <c r="T672" s="8"/>
      <c r="U672" s="8"/>
    </row>
    <row r="673" spans="20:21" ht="15.75" customHeight="1">
      <c r="T673" s="7"/>
      <c r="U673" s="7"/>
    </row>
    <row r="674" spans="20:21" ht="15.75" customHeight="1">
      <c r="T674" s="5"/>
      <c r="U674" s="5"/>
    </row>
    <row r="675" spans="20:21" ht="15.75" customHeight="1">
      <c r="T675" s="8"/>
      <c r="U675" s="8"/>
    </row>
    <row r="676" spans="20:21" ht="15.75" customHeight="1">
      <c r="T676" s="5"/>
      <c r="U676" s="5"/>
    </row>
    <row r="677" spans="20:21" ht="15.75" customHeight="1">
      <c r="T677" s="8"/>
      <c r="U677" s="8"/>
    </row>
    <row r="678" spans="20:21" ht="15.75" customHeight="1">
      <c r="T678" s="5"/>
      <c r="U678" s="5"/>
    </row>
    <row r="679" spans="20:21" ht="15.75" customHeight="1">
      <c r="T679" s="8"/>
      <c r="U679" s="8"/>
    </row>
    <row r="680" spans="20:21" ht="15.75" customHeight="1">
      <c r="T680" s="5"/>
      <c r="U680" s="5"/>
    </row>
    <row r="681" spans="20:21" ht="15.75" customHeight="1">
      <c r="T681" s="8"/>
      <c r="U681" s="8"/>
    </row>
    <row r="682" spans="20:21" ht="15.75" customHeight="1">
      <c r="T682" s="5"/>
      <c r="U682" s="5"/>
    </row>
    <row r="683" spans="20:21" ht="15.75" customHeight="1">
      <c r="T683" s="8"/>
      <c r="U683" s="8"/>
    </row>
    <row r="684" spans="20:21" ht="15.75" customHeight="1">
      <c r="T684" s="5"/>
      <c r="U684" s="5"/>
    </row>
    <row r="685" spans="20:21" ht="15.75" customHeight="1">
      <c r="T685" s="8"/>
      <c r="U685" s="8"/>
    </row>
    <row r="686" spans="20:21" ht="15.75" customHeight="1">
      <c r="T686" s="5"/>
      <c r="U686" s="5"/>
    </row>
    <row r="687" spans="20:21" ht="15.75" customHeight="1">
      <c r="T687" s="8"/>
      <c r="U687" s="8"/>
    </row>
    <row r="688" spans="20:21" ht="15.75" customHeight="1">
      <c r="T688" s="5"/>
      <c r="U688" s="5"/>
    </row>
    <row r="689" spans="20:21" ht="15.75" customHeight="1">
      <c r="T689" s="8"/>
      <c r="U689" s="8"/>
    </row>
    <row r="690" spans="20:21" ht="15.75" customHeight="1">
      <c r="T690" s="5"/>
      <c r="U690" s="5"/>
    </row>
    <row r="691" spans="20:21" ht="15.75" customHeight="1">
      <c r="T691" s="8"/>
      <c r="U691" s="8"/>
    </row>
    <row r="692" spans="20:21" ht="15.75" customHeight="1">
      <c r="T692" s="5"/>
      <c r="U692" s="5"/>
    </row>
    <row r="693" spans="20:21" ht="15.75" customHeight="1">
      <c r="T693" s="8"/>
      <c r="U693" s="8"/>
    </row>
    <row r="694" spans="20:21" ht="15.75" customHeight="1">
      <c r="T694" s="5"/>
      <c r="U694" s="5"/>
    </row>
    <row r="695" spans="20:21" ht="15.75" customHeight="1">
      <c r="T695" s="8"/>
      <c r="U695" s="8"/>
    </row>
    <row r="696" spans="20:21" ht="15.75" customHeight="1">
      <c r="T696" s="5"/>
      <c r="U696" s="5"/>
    </row>
    <row r="697" spans="20:21" ht="15.75" customHeight="1">
      <c r="T697" s="5"/>
      <c r="U697" s="5"/>
    </row>
    <row r="698" spans="20:21" ht="15.75" customHeight="1">
      <c r="T698" s="8"/>
      <c r="U698" s="8"/>
    </row>
    <row r="699" spans="20:21" ht="15.75" customHeight="1">
      <c r="T699" s="5"/>
      <c r="U699" s="5"/>
    </row>
    <row r="700" spans="20:21" ht="15.75" customHeight="1">
      <c r="T700" s="5"/>
      <c r="U700" s="5"/>
    </row>
    <row r="701" spans="20:21" ht="15.75" customHeight="1">
      <c r="T701" s="8"/>
      <c r="U701" s="8"/>
    </row>
    <row r="702" spans="20:21" ht="15.75" customHeight="1">
      <c r="T702" s="5"/>
      <c r="U702" s="5"/>
    </row>
    <row r="703" spans="20:21" ht="15.75" customHeight="1">
      <c r="T703" s="8"/>
      <c r="U703" s="8"/>
    </row>
    <row r="704" spans="20:21" ht="15.75" customHeight="1">
      <c r="T704" s="8"/>
      <c r="U704" s="8"/>
    </row>
    <row r="705" spans="20:21" ht="15.75" customHeight="1">
      <c r="T705" s="7"/>
      <c r="U705" s="7"/>
    </row>
    <row r="706" spans="20:21" ht="15.75" customHeight="1">
      <c r="T706" s="5"/>
      <c r="U706" s="5"/>
    </row>
    <row r="707" spans="20:21" ht="15.75" customHeight="1">
      <c r="T707" s="8"/>
      <c r="U707" s="8"/>
    </row>
    <row r="708" spans="20:21" ht="15.75" customHeight="1">
      <c r="T708" s="5"/>
      <c r="U708" s="5"/>
    </row>
    <row r="709" spans="20:21" ht="15.75" customHeight="1">
      <c r="T709" s="8"/>
      <c r="U709" s="8"/>
    </row>
    <row r="710" spans="20:21" ht="15.75" customHeight="1">
      <c r="T710" s="5"/>
      <c r="U710" s="5"/>
    </row>
    <row r="711" spans="20:21" ht="15.75" customHeight="1">
      <c r="T711" s="8"/>
      <c r="U711" s="8"/>
    </row>
    <row r="712" spans="20:21" ht="15.75" customHeight="1">
      <c r="T712" s="5"/>
      <c r="U712" s="5"/>
    </row>
    <row r="713" spans="20:21" ht="15.75" customHeight="1">
      <c r="T713" s="8"/>
      <c r="U713" s="8"/>
    </row>
    <row r="714" spans="20:21" ht="15.75" customHeight="1">
      <c r="T714" s="5"/>
      <c r="U714" s="5"/>
    </row>
    <row r="715" spans="20:21" ht="15.75" customHeight="1">
      <c r="T715" s="8"/>
      <c r="U715" s="8"/>
    </row>
    <row r="716" spans="20:21" ht="15.75" customHeight="1">
      <c r="T716" s="5"/>
      <c r="U716" s="5"/>
    </row>
    <row r="717" spans="20:21" ht="15.75" customHeight="1">
      <c r="T717" s="8"/>
      <c r="U717" s="8"/>
    </row>
    <row r="718" spans="20:21" ht="15.75" customHeight="1">
      <c r="T718" s="5"/>
      <c r="U718" s="5"/>
    </row>
    <row r="719" spans="20:21" ht="15.75" customHeight="1">
      <c r="T719" s="8"/>
      <c r="U719" s="8"/>
    </row>
    <row r="720" spans="20:21" ht="15.75" customHeight="1">
      <c r="T720" s="5"/>
      <c r="U720" s="5"/>
    </row>
    <row r="721" spans="20:21" ht="15.75" customHeight="1">
      <c r="T721" s="8"/>
      <c r="U721" s="8"/>
    </row>
    <row r="722" spans="20:21" ht="15.75" customHeight="1">
      <c r="T722" s="5"/>
      <c r="U722" s="5"/>
    </row>
    <row r="723" spans="20:21" ht="15.75" customHeight="1">
      <c r="T723" s="8"/>
      <c r="U723" s="8"/>
    </row>
    <row r="724" spans="20:21" ht="15.75" customHeight="1">
      <c r="T724" s="5"/>
      <c r="U724" s="5"/>
    </row>
    <row r="725" spans="20:21" ht="15.75" customHeight="1">
      <c r="T725" s="8"/>
      <c r="U725" s="8"/>
    </row>
    <row r="726" spans="20:21" ht="15.75" customHeight="1">
      <c r="T726" s="5"/>
      <c r="U726" s="5"/>
    </row>
    <row r="727" spans="20:21" ht="15.75" customHeight="1">
      <c r="T727" s="8"/>
      <c r="U727" s="8"/>
    </row>
    <row r="728" spans="20:21" ht="15.75" customHeight="1">
      <c r="T728" s="5"/>
      <c r="U728" s="5"/>
    </row>
    <row r="729" spans="20:21" ht="15.75" customHeight="1">
      <c r="T729" s="5"/>
      <c r="U729" s="5"/>
    </row>
    <row r="730" spans="20:21" ht="15.75" customHeight="1">
      <c r="T730" s="8"/>
      <c r="U730" s="8"/>
    </row>
    <row r="731" spans="20:21" ht="15.75" customHeight="1">
      <c r="T731" s="5"/>
      <c r="U731" s="5"/>
    </row>
    <row r="732" spans="20:21" ht="15.75" customHeight="1">
      <c r="T732" s="5"/>
      <c r="U732" s="5"/>
    </row>
    <row r="733" spans="20:21" ht="15.75" customHeight="1">
      <c r="T733" s="8"/>
      <c r="U733" s="8"/>
    </row>
    <row r="734" spans="20:21" ht="15.75" customHeight="1">
      <c r="T734" s="5"/>
      <c r="U734" s="5"/>
    </row>
    <row r="735" spans="20:21" ht="15.75" customHeight="1">
      <c r="T735" s="8"/>
      <c r="U735" s="8"/>
    </row>
    <row r="736" spans="20:21" ht="15.75" customHeight="1">
      <c r="T736" s="8"/>
      <c r="U736" s="8"/>
    </row>
    <row r="737" spans="20:21" ht="15.75" customHeight="1">
      <c r="T737" s="7"/>
      <c r="U737" s="7"/>
    </row>
    <row r="738" spans="20:21" ht="15.75" customHeight="1">
      <c r="T738" s="5"/>
      <c r="U738" s="5"/>
    </row>
    <row r="739" spans="20:21" ht="15.75" customHeight="1">
      <c r="T739" s="8"/>
      <c r="U739" s="8"/>
    </row>
    <row r="740" spans="20:21" ht="15.75" customHeight="1">
      <c r="T740" s="5"/>
      <c r="U740" s="5"/>
    </row>
    <row r="741" spans="20:21" ht="15.75" customHeight="1">
      <c r="T741" s="8"/>
      <c r="U741" s="8"/>
    </row>
    <row r="742" spans="20:21" ht="15.75" customHeight="1">
      <c r="T742" s="5"/>
      <c r="U742" s="5"/>
    </row>
    <row r="743" spans="20:21" ht="15.75" customHeight="1">
      <c r="T743" s="8"/>
      <c r="U743" s="8"/>
    </row>
    <row r="744" spans="20:21" ht="15.75" customHeight="1">
      <c r="T744" s="5"/>
      <c r="U744" s="5"/>
    </row>
    <row r="745" spans="20:21" ht="15.75" customHeight="1">
      <c r="T745" s="8"/>
      <c r="U745" s="8"/>
    </row>
    <row r="746" spans="20:21" ht="15.75" customHeight="1">
      <c r="T746" s="5"/>
      <c r="U746" s="5"/>
    </row>
    <row r="747" spans="20:21" ht="15.75" customHeight="1">
      <c r="T747" s="8"/>
      <c r="U747" s="8"/>
    </row>
    <row r="748" spans="20:21" ht="15.75" customHeight="1">
      <c r="T748" s="5"/>
      <c r="U748" s="5"/>
    </row>
    <row r="749" spans="20:21" ht="15.75" customHeight="1">
      <c r="T749" s="8"/>
      <c r="U749" s="8"/>
    </row>
    <row r="750" spans="20:21" ht="15.75" customHeight="1">
      <c r="T750" s="5"/>
      <c r="U750" s="5"/>
    </row>
    <row r="751" spans="20:21" ht="15.75" customHeight="1">
      <c r="T751" s="8"/>
      <c r="U751" s="8"/>
    </row>
    <row r="752" spans="20:21" ht="15.75" customHeight="1">
      <c r="T752" s="5"/>
      <c r="U752" s="5"/>
    </row>
    <row r="753" spans="20:21" ht="15.75" customHeight="1">
      <c r="T753" s="8"/>
      <c r="U753" s="8"/>
    </row>
    <row r="754" spans="20:21" ht="15.75" customHeight="1">
      <c r="T754" s="5"/>
      <c r="U754" s="5"/>
    </row>
    <row r="755" spans="20:21" ht="15.75" customHeight="1">
      <c r="T755" s="8"/>
      <c r="U755" s="8"/>
    </row>
    <row r="756" spans="20:21" ht="15.75" customHeight="1">
      <c r="T756" s="5"/>
      <c r="U756" s="5"/>
    </row>
    <row r="757" spans="20:21" ht="15.75" customHeight="1">
      <c r="T757" s="8"/>
      <c r="U757" s="8"/>
    </row>
    <row r="758" spans="20:21" ht="15.75" customHeight="1">
      <c r="T758" s="5"/>
      <c r="U758" s="5"/>
    </row>
    <row r="759" spans="20:21" ht="15.75" customHeight="1">
      <c r="T759" s="8"/>
      <c r="U759" s="8"/>
    </row>
    <row r="760" spans="20:21" ht="15.75" customHeight="1">
      <c r="T760" s="5"/>
      <c r="U760" s="5"/>
    </row>
    <row r="761" spans="20:21" ht="15.75" customHeight="1">
      <c r="T761" s="5"/>
      <c r="U761" s="5"/>
    </row>
    <row r="762" spans="20:21" ht="15.75" customHeight="1">
      <c r="T762" s="8"/>
      <c r="U762" s="8"/>
    </row>
    <row r="763" spans="20:21" ht="15.75" customHeight="1">
      <c r="T763" s="5"/>
      <c r="U763" s="5"/>
    </row>
    <row r="764" spans="20:21" ht="15.75" customHeight="1">
      <c r="T764" s="5"/>
      <c r="U764" s="5"/>
    </row>
    <row r="765" spans="20:21" ht="15.75" customHeight="1">
      <c r="T765" s="8"/>
      <c r="U765" s="8"/>
    </row>
    <row r="766" spans="20:21" ht="15.75" customHeight="1">
      <c r="T766" s="5"/>
      <c r="U766" s="5"/>
    </row>
    <row r="767" spans="20:21" ht="15.75" customHeight="1">
      <c r="T767" s="8"/>
      <c r="U767" s="8"/>
    </row>
    <row r="768" spans="20:21" ht="15.75" customHeight="1">
      <c r="T768" s="8"/>
      <c r="U768" s="8"/>
    </row>
    <row r="769" spans="20:21" ht="15.75" customHeight="1">
      <c r="T769" s="7"/>
      <c r="U769" s="7"/>
    </row>
    <row r="770" spans="20:21" ht="15.75" customHeight="1">
      <c r="T770" s="5"/>
      <c r="U770" s="5"/>
    </row>
    <row r="771" spans="20:21" ht="15.75" customHeight="1">
      <c r="T771" s="8"/>
      <c r="U771" s="8"/>
    </row>
    <row r="772" spans="20:21" ht="15.75" customHeight="1">
      <c r="T772" s="5"/>
      <c r="U772" s="5"/>
    </row>
    <row r="773" spans="20:21" ht="15.75" customHeight="1">
      <c r="T773" s="8"/>
      <c r="U773" s="8"/>
    </row>
    <row r="774" spans="20:21" ht="15.75" customHeight="1">
      <c r="T774" s="5"/>
      <c r="U774" s="5"/>
    </row>
    <row r="775" spans="20:21" ht="15.75" customHeight="1">
      <c r="T775" s="8"/>
      <c r="U775" s="8"/>
    </row>
    <row r="776" spans="20:21" ht="15.75" customHeight="1">
      <c r="T776" s="5"/>
      <c r="U776" s="5"/>
    </row>
    <row r="777" spans="20:21" ht="15.75" customHeight="1">
      <c r="T777" s="8"/>
      <c r="U777" s="8"/>
    </row>
    <row r="778" spans="20:21" ht="15.75" customHeight="1">
      <c r="T778" s="5"/>
      <c r="U778" s="5"/>
    </row>
    <row r="779" spans="20:21" ht="15.75" customHeight="1">
      <c r="T779" s="8"/>
      <c r="U779" s="8"/>
    </row>
    <row r="780" spans="20:21" ht="15.75" customHeight="1">
      <c r="T780" s="5"/>
      <c r="U780" s="5"/>
    </row>
    <row r="781" spans="20:21" ht="15.75" customHeight="1">
      <c r="T781" s="8"/>
      <c r="U781" s="8"/>
    </row>
    <row r="782" spans="20:21" ht="15.75" customHeight="1">
      <c r="T782" s="5"/>
      <c r="U782" s="5"/>
    </row>
    <row r="783" spans="20:21" ht="15.75" customHeight="1">
      <c r="T783" s="8"/>
      <c r="U783" s="8"/>
    </row>
    <row r="784" spans="20:21" ht="15.75" customHeight="1">
      <c r="T784" s="5"/>
      <c r="U784" s="5"/>
    </row>
    <row r="785" spans="20:21" ht="15.75" customHeight="1">
      <c r="T785" s="8"/>
      <c r="U785" s="8"/>
    </row>
    <row r="786" spans="20:21" ht="15.75" customHeight="1">
      <c r="T786" s="5"/>
      <c r="U786" s="5"/>
    </row>
    <row r="787" spans="20:21" ht="15.75" customHeight="1">
      <c r="T787" s="8"/>
      <c r="U787" s="8"/>
    </row>
    <row r="788" spans="20:21" ht="15.75" customHeight="1">
      <c r="T788" s="5"/>
      <c r="U788" s="5"/>
    </row>
    <row r="789" spans="20:21" ht="15.75" customHeight="1">
      <c r="T789" s="8"/>
      <c r="U789" s="8"/>
    </row>
    <row r="790" spans="20:21" ht="15.75" customHeight="1">
      <c r="T790" s="5"/>
      <c r="U790" s="5"/>
    </row>
    <row r="791" spans="20:21" ht="15.75" customHeight="1">
      <c r="T791" s="8"/>
      <c r="U791" s="8"/>
    </row>
    <row r="792" spans="20:21" ht="15.75" customHeight="1">
      <c r="T792" s="5"/>
      <c r="U792" s="5"/>
    </row>
    <row r="793" spans="20:21" ht="15.75" customHeight="1">
      <c r="T793" s="5"/>
      <c r="U793" s="5"/>
    </row>
    <row r="794" spans="20:21" ht="15.75" customHeight="1">
      <c r="T794" s="8"/>
      <c r="U794" s="8"/>
    </row>
    <row r="795" spans="20:21" ht="15.75" customHeight="1">
      <c r="T795" s="5"/>
      <c r="U795" s="5"/>
    </row>
    <row r="796" spans="20:21" ht="15.75" customHeight="1">
      <c r="T796" s="5"/>
      <c r="U796" s="5"/>
    </row>
    <row r="797" spans="20:21" ht="15.75" customHeight="1">
      <c r="T797" s="8"/>
      <c r="U797" s="8"/>
    </row>
    <row r="798" spans="20:21" ht="15.75" customHeight="1">
      <c r="T798" s="5"/>
      <c r="U798" s="5"/>
    </row>
    <row r="799" spans="20:21" ht="15.75" customHeight="1">
      <c r="T799" s="8"/>
      <c r="U799" s="8"/>
    </row>
    <row r="800" spans="20:21" ht="15.75" customHeight="1">
      <c r="T800" s="8"/>
      <c r="U800" s="8"/>
    </row>
    <row r="801" spans="20:21" ht="15.75" customHeight="1">
      <c r="T801" s="7"/>
      <c r="U801" s="7"/>
    </row>
    <row r="802" spans="20:21" ht="15.75" customHeight="1">
      <c r="T802" s="5"/>
      <c r="U802" s="5"/>
    </row>
    <row r="803" spans="20:21" ht="15.75" customHeight="1">
      <c r="T803" s="8"/>
      <c r="U803" s="8"/>
    </row>
    <row r="804" spans="20:21" ht="15.75" customHeight="1">
      <c r="T804" s="5"/>
      <c r="U804" s="5"/>
    </row>
    <row r="805" spans="20:21" ht="15.75" customHeight="1">
      <c r="T805" s="8"/>
      <c r="U805" s="8"/>
    </row>
    <row r="806" spans="20:21" ht="15.75" customHeight="1">
      <c r="T806" s="5"/>
      <c r="U806" s="5"/>
    </row>
    <row r="807" spans="20:21" ht="15.75" customHeight="1">
      <c r="T807" s="8"/>
      <c r="U807" s="8"/>
    </row>
    <row r="808" spans="20:21" ht="15.75" customHeight="1">
      <c r="T808" s="5"/>
      <c r="U808" s="5"/>
    </row>
    <row r="809" spans="20:21" ht="15.75" customHeight="1">
      <c r="T809" s="8"/>
      <c r="U809" s="8"/>
    </row>
    <row r="810" spans="20:21" ht="15.75" customHeight="1">
      <c r="T810" s="5"/>
      <c r="U810" s="5"/>
    </row>
    <row r="811" spans="20:21" ht="15.75" customHeight="1">
      <c r="T811" s="8"/>
      <c r="U811" s="8"/>
    </row>
    <row r="812" spans="20:21" ht="15.75" customHeight="1">
      <c r="T812" s="5"/>
      <c r="U812" s="5"/>
    </row>
    <row r="813" spans="20:21" ht="15.75" customHeight="1">
      <c r="T813" s="8"/>
      <c r="U813" s="8"/>
    </row>
    <row r="814" spans="20:21" ht="15.75" customHeight="1">
      <c r="T814" s="5"/>
      <c r="U814" s="5"/>
    </row>
    <row r="815" spans="20:21" ht="15.75" customHeight="1">
      <c r="T815" s="8"/>
      <c r="U815" s="8"/>
    </row>
    <row r="816" spans="20:21" ht="15.75" customHeight="1">
      <c r="T816" s="5"/>
      <c r="U816" s="5"/>
    </row>
    <row r="817" spans="20:21" ht="15.75" customHeight="1">
      <c r="T817" s="8"/>
      <c r="U817" s="8"/>
    </row>
    <row r="818" spans="20:21" ht="15.75" customHeight="1">
      <c r="T818" s="5"/>
      <c r="U818" s="5"/>
    </row>
    <row r="819" spans="20:21" ht="15.75" customHeight="1">
      <c r="T819" s="8"/>
      <c r="U819" s="8"/>
    </row>
    <row r="820" spans="20:21" ht="15.75" customHeight="1">
      <c r="T820" s="5"/>
      <c r="U820" s="5"/>
    </row>
    <row r="821" spans="20:21" ht="15.75" customHeight="1">
      <c r="T821" s="8"/>
      <c r="U821" s="8"/>
    </row>
    <row r="822" spans="20:21" ht="15.75" customHeight="1">
      <c r="T822" s="5"/>
      <c r="U822" s="5"/>
    </row>
    <row r="823" spans="20:21" ht="15.75" customHeight="1">
      <c r="T823" s="8"/>
      <c r="U823" s="8"/>
    </row>
    <row r="824" spans="20:21" ht="15.75" customHeight="1">
      <c r="T824" s="5"/>
      <c r="U824" s="5"/>
    </row>
    <row r="825" spans="20:21" ht="15.75" customHeight="1">
      <c r="T825" s="5"/>
      <c r="U825" s="5"/>
    </row>
    <row r="826" spans="20:21" ht="15.75" customHeight="1">
      <c r="T826" s="8"/>
      <c r="U826" s="8"/>
    </row>
    <row r="827" spans="20:21" ht="15.75" customHeight="1">
      <c r="T827" s="5"/>
      <c r="U827" s="5"/>
    </row>
    <row r="828" spans="20:21" ht="15.75" customHeight="1">
      <c r="T828" s="5"/>
      <c r="U828" s="5"/>
    </row>
    <row r="829" spans="20:21" ht="15.75" customHeight="1">
      <c r="T829" s="8"/>
      <c r="U829" s="8"/>
    </row>
    <row r="830" spans="20:21" ht="15.75" customHeight="1">
      <c r="T830" s="5"/>
      <c r="U830" s="5"/>
    </row>
    <row r="831" spans="20:21" ht="15.75" customHeight="1">
      <c r="T831" s="8"/>
      <c r="U831" s="8"/>
    </row>
    <row r="832" spans="20:21" ht="15.75" customHeight="1">
      <c r="T832" s="8"/>
      <c r="U832" s="8"/>
    </row>
    <row r="833" spans="20:21" ht="15.75" customHeight="1">
      <c r="T833" s="7"/>
      <c r="U833" s="7"/>
    </row>
    <row r="834" spans="20:21" ht="15.75" customHeight="1">
      <c r="T834" s="5"/>
      <c r="U834" s="5"/>
    </row>
    <row r="835" spans="20:21" ht="15.75" customHeight="1">
      <c r="T835" s="8"/>
      <c r="U835" s="8"/>
    </row>
    <row r="836" spans="20:21" ht="15.75" customHeight="1">
      <c r="T836" s="5"/>
      <c r="U836" s="5"/>
    </row>
    <row r="837" spans="20:21" ht="15.75" customHeight="1">
      <c r="T837" s="8"/>
      <c r="U837" s="8"/>
    </row>
    <row r="838" spans="20:21" ht="15.75" customHeight="1">
      <c r="T838" s="5"/>
      <c r="U838" s="5"/>
    </row>
    <row r="839" spans="20:21" ht="15.75" customHeight="1">
      <c r="T839" s="8"/>
      <c r="U839" s="8"/>
    </row>
    <row r="840" spans="20:21" ht="15.75" customHeight="1">
      <c r="T840" s="5"/>
      <c r="U840" s="5"/>
    </row>
    <row r="841" spans="20:21" ht="15.75" customHeight="1">
      <c r="T841" s="8"/>
      <c r="U841" s="8"/>
    </row>
    <row r="842" spans="20:21" ht="15.75" customHeight="1">
      <c r="T842" s="5"/>
      <c r="U842" s="5"/>
    </row>
    <row r="843" spans="20:21" ht="15.75" customHeight="1">
      <c r="T843" s="8"/>
      <c r="U843" s="8"/>
    </row>
    <row r="844" spans="20:21" ht="15.75" customHeight="1">
      <c r="T844" s="5"/>
      <c r="U844" s="5"/>
    </row>
    <row r="845" spans="20:21" ht="15.75" customHeight="1">
      <c r="T845" s="8"/>
      <c r="U845" s="8"/>
    </row>
    <row r="846" spans="20:21" ht="15.75" customHeight="1">
      <c r="T846" s="5"/>
      <c r="U846" s="5"/>
    </row>
    <row r="847" spans="20:21" ht="15.75" customHeight="1">
      <c r="T847" s="8"/>
      <c r="U847" s="8"/>
    </row>
    <row r="848" spans="20:21" ht="15.75" customHeight="1">
      <c r="T848" s="5"/>
      <c r="U848" s="5"/>
    </row>
    <row r="849" spans="20:21" ht="15.75" customHeight="1">
      <c r="T849" s="8"/>
      <c r="U849" s="8"/>
    </row>
    <row r="850" spans="20:21" ht="15.75" customHeight="1">
      <c r="T850" s="5"/>
      <c r="U850" s="5"/>
    </row>
    <row r="851" spans="20:21" ht="15.75" customHeight="1">
      <c r="T851" s="8"/>
      <c r="U851" s="8"/>
    </row>
    <row r="852" spans="20:21" ht="15.75" customHeight="1">
      <c r="T852" s="5"/>
      <c r="U852" s="5"/>
    </row>
    <row r="853" spans="20:21" ht="15.75" customHeight="1">
      <c r="T853" s="8"/>
      <c r="U853" s="8"/>
    </row>
    <row r="854" spans="20:21" ht="15.75" customHeight="1">
      <c r="T854" s="5"/>
      <c r="U854" s="5"/>
    </row>
    <row r="855" spans="20:21" ht="15.75" customHeight="1">
      <c r="T855" s="8"/>
      <c r="U855" s="8"/>
    </row>
    <row r="856" spans="20:21" ht="15.75" customHeight="1">
      <c r="T856" s="5"/>
      <c r="U856" s="5"/>
    </row>
    <row r="857" spans="20:21" ht="15.75" customHeight="1">
      <c r="T857" s="5"/>
      <c r="U857" s="5"/>
    </row>
    <row r="858" spans="20:21" ht="15.75" customHeight="1">
      <c r="T858" s="8"/>
      <c r="U858" s="8"/>
    </row>
    <row r="859" spans="20:21" ht="15.75" customHeight="1">
      <c r="T859" s="5"/>
      <c r="U859" s="5"/>
    </row>
    <row r="860" spans="20:21" ht="15.75" customHeight="1">
      <c r="T860" s="5"/>
      <c r="U860" s="5"/>
    </row>
    <row r="861" spans="20:21" ht="15.75" customHeight="1">
      <c r="T861" s="8"/>
      <c r="U861" s="8"/>
    </row>
    <row r="862" spans="20:21" ht="15.75" customHeight="1">
      <c r="T862" s="5"/>
      <c r="U862" s="5"/>
    </row>
    <row r="863" spans="20:21" ht="15.75" customHeight="1">
      <c r="T863" s="8"/>
      <c r="U863" s="8"/>
    </row>
    <row r="864" spans="20:21" ht="15.75" customHeight="1">
      <c r="T864" s="8"/>
      <c r="U864" s="8"/>
    </row>
    <row r="865" spans="20:21" ht="15.75" customHeight="1">
      <c r="T865" s="7"/>
      <c r="U865" s="7"/>
    </row>
    <row r="866" spans="20:21" ht="15.75" customHeight="1">
      <c r="T866" s="5"/>
      <c r="U866" s="5"/>
    </row>
    <row r="867" spans="20:21" ht="15.75" customHeight="1">
      <c r="T867" s="8"/>
      <c r="U867" s="8"/>
    </row>
    <row r="868" spans="20:21" ht="15.75" customHeight="1">
      <c r="T868" s="5"/>
      <c r="U868" s="5"/>
    </row>
    <row r="869" spans="20:21" ht="15.75" customHeight="1">
      <c r="T869" s="8"/>
      <c r="U869" s="8"/>
    </row>
    <row r="870" spans="20:21" ht="15.75" customHeight="1">
      <c r="T870" s="5"/>
      <c r="U870" s="5"/>
    </row>
    <row r="871" spans="20:21" ht="15.75" customHeight="1">
      <c r="T871" s="8"/>
      <c r="U871" s="8"/>
    </row>
    <row r="872" spans="20:21" ht="15.75" customHeight="1">
      <c r="T872" s="5"/>
      <c r="U872" s="5"/>
    </row>
    <row r="873" spans="20:21" ht="15.75" customHeight="1">
      <c r="T873" s="8"/>
      <c r="U873" s="8"/>
    </row>
    <row r="874" spans="20:21" ht="15.75" customHeight="1">
      <c r="T874" s="5"/>
      <c r="U874" s="5"/>
    </row>
    <row r="875" spans="20:21" ht="15.75" customHeight="1">
      <c r="T875" s="8"/>
      <c r="U875" s="8"/>
    </row>
    <row r="876" spans="20:21" ht="15.75" customHeight="1">
      <c r="T876" s="5"/>
      <c r="U876" s="5"/>
    </row>
    <row r="877" spans="20:21" ht="15.75" customHeight="1">
      <c r="T877" s="8"/>
      <c r="U877" s="8"/>
    </row>
    <row r="878" spans="20:21" ht="15.75" customHeight="1">
      <c r="T878" s="5"/>
      <c r="U878" s="5"/>
    </row>
    <row r="879" spans="20:21" ht="15.75" customHeight="1">
      <c r="T879" s="8"/>
      <c r="U879" s="8"/>
    </row>
    <row r="880" spans="20:21" ht="15.75" customHeight="1">
      <c r="T880" s="5"/>
      <c r="U880" s="5"/>
    </row>
    <row r="881" spans="20:21" ht="15.75" customHeight="1">
      <c r="T881" s="8"/>
      <c r="U881" s="8"/>
    </row>
    <row r="882" spans="20:21" ht="15.75" customHeight="1">
      <c r="T882" s="5"/>
      <c r="U882" s="5"/>
    </row>
    <row r="883" spans="20:21" ht="15.75" customHeight="1">
      <c r="T883" s="8"/>
      <c r="U883" s="8"/>
    </row>
    <row r="884" spans="20:21" ht="15.75" customHeight="1">
      <c r="T884" s="5"/>
      <c r="U884" s="5"/>
    </row>
    <row r="885" spans="20:21" ht="15.75" customHeight="1">
      <c r="T885" s="8"/>
      <c r="U885" s="8"/>
    </row>
    <row r="886" spans="20:21" ht="15.75" customHeight="1">
      <c r="T886" s="5"/>
      <c r="U886" s="5"/>
    </row>
    <row r="887" spans="20:21" ht="15.75" customHeight="1">
      <c r="T887" s="8"/>
      <c r="U887" s="8"/>
    </row>
    <row r="888" spans="20:21" ht="15.75" customHeight="1">
      <c r="T888" s="5"/>
      <c r="U888" s="5"/>
    </row>
    <row r="889" spans="20:21" ht="15.75" customHeight="1">
      <c r="T889" s="5"/>
      <c r="U889" s="5"/>
    </row>
    <row r="890" spans="20:21" ht="15.75" customHeight="1">
      <c r="T890" s="8"/>
      <c r="U890" s="8"/>
    </row>
    <row r="891" spans="20:21" ht="15.75" customHeight="1">
      <c r="T891" s="5"/>
      <c r="U891" s="5"/>
    </row>
    <row r="892" spans="20:21" ht="15.75" customHeight="1">
      <c r="T892" s="5"/>
      <c r="U892" s="5"/>
    </row>
    <row r="893" spans="20:21" ht="15.75" customHeight="1">
      <c r="T893" s="8"/>
      <c r="U893" s="8"/>
    </row>
    <row r="894" spans="20:21" ht="15.75" customHeight="1">
      <c r="T894" s="5"/>
      <c r="U894" s="5"/>
    </row>
    <row r="895" spans="20:21" ht="15.75" customHeight="1">
      <c r="T895" s="8"/>
      <c r="U895" s="8"/>
    </row>
    <row r="896" spans="20:21" ht="15.75" customHeight="1">
      <c r="T896" s="8"/>
      <c r="U896" s="8"/>
    </row>
    <row r="897" spans="20:21" ht="15.75" customHeight="1">
      <c r="T897" s="7"/>
      <c r="U897" s="7"/>
    </row>
    <row r="898" spans="20:21" ht="15.75" customHeight="1">
      <c r="T898" s="5"/>
      <c r="U898" s="5"/>
    </row>
    <row r="899" spans="20:21" ht="15.75" customHeight="1">
      <c r="T899" s="8"/>
      <c r="U899" s="8"/>
    </row>
    <row r="900" spans="20:21" ht="15.75" customHeight="1">
      <c r="T900" s="5"/>
      <c r="U900" s="5"/>
    </row>
    <row r="901" spans="20:21" ht="15.75" customHeight="1">
      <c r="T901" s="8"/>
      <c r="U901" s="8"/>
    </row>
    <row r="902" spans="20:21" ht="15.75" customHeight="1">
      <c r="T902" s="5"/>
      <c r="U902" s="5"/>
    </row>
    <row r="903" spans="20:21" ht="15.75" customHeight="1">
      <c r="T903" s="8"/>
      <c r="U903" s="8"/>
    </row>
    <row r="904" spans="20:21" ht="15.75" customHeight="1">
      <c r="T904" s="5"/>
      <c r="U904" s="5"/>
    </row>
    <row r="905" spans="20:21" ht="15.75" customHeight="1">
      <c r="T905" s="8"/>
      <c r="U905" s="8"/>
    </row>
    <row r="906" spans="20:21" ht="15.75" customHeight="1">
      <c r="T906" s="5"/>
      <c r="U906" s="5"/>
    </row>
    <row r="907" spans="20:21" ht="15.75" customHeight="1">
      <c r="T907" s="8"/>
      <c r="U907" s="8"/>
    </row>
    <row r="908" spans="20:21" ht="15.75" customHeight="1">
      <c r="T908" s="5"/>
      <c r="U908" s="5"/>
    </row>
    <row r="909" spans="20:21" ht="15.75" customHeight="1">
      <c r="T909" s="8"/>
      <c r="U909" s="8"/>
    </row>
    <row r="910" spans="20:21" ht="15.75" customHeight="1">
      <c r="T910" s="5"/>
      <c r="U910" s="5"/>
    </row>
    <row r="911" spans="20:21" ht="15.75" customHeight="1">
      <c r="T911" s="8"/>
      <c r="U911" s="8"/>
    </row>
    <row r="912" spans="20:21" ht="15.75" customHeight="1">
      <c r="T912" s="5"/>
      <c r="U912" s="5"/>
    </row>
    <row r="913" spans="20:21" ht="15.75" customHeight="1">
      <c r="T913" s="8"/>
      <c r="U913" s="8"/>
    </row>
    <row r="914" spans="20:21" ht="15.75" customHeight="1">
      <c r="T914" s="5"/>
      <c r="U914" s="5"/>
    </row>
    <row r="915" spans="20:21" ht="15.75" customHeight="1">
      <c r="T915" s="8"/>
      <c r="U915" s="8"/>
    </row>
    <row r="916" spans="20:21" ht="15.75" customHeight="1">
      <c r="T916" s="5"/>
      <c r="U916" s="5"/>
    </row>
    <row r="917" spans="20:21" ht="15.75" customHeight="1">
      <c r="T917" s="8"/>
      <c r="U917" s="8"/>
    </row>
    <row r="918" spans="20:21" ht="15.75" customHeight="1">
      <c r="T918" s="5"/>
      <c r="U918" s="5"/>
    </row>
    <row r="919" spans="20:21" ht="15.75" customHeight="1">
      <c r="T919" s="8"/>
      <c r="U919" s="8"/>
    </row>
    <row r="920" spans="20:21" ht="15.75" customHeight="1">
      <c r="T920" s="5"/>
      <c r="U920" s="5"/>
    </row>
    <row r="921" spans="20:21" ht="15.75" customHeight="1">
      <c r="T921" s="5"/>
      <c r="U921" s="5"/>
    </row>
    <row r="922" spans="20:21" ht="15.75" customHeight="1">
      <c r="T922" s="8"/>
      <c r="U922" s="8"/>
    </row>
    <row r="923" spans="20:21" ht="15.75" customHeight="1">
      <c r="T923" s="5"/>
      <c r="U923" s="5"/>
    </row>
    <row r="924" spans="20:21" ht="15.75" customHeight="1">
      <c r="T924" s="5"/>
      <c r="U924" s="5"/>
    </row>
    <row r="925" spans="20:21" ht="15.75" customHeight="1">
      <c r="T925" s="8"/>
      <c r="U925" s="8"/>
    </row>
    <row r="926" spans="20:21" ht="15.75" customHeight="1">
      <c r="T926" s="5"/>
      <c r="U926" s="5"/>
    </row>
    <row r="927" spans="20:21" ht="15.75" customHeight="1">
      <c r="T927" s="8"/>
      <c r="U927" s="8"/>
    </row>
    <row r="928" spans="20:21" ht="15.75" customHeight="1">
      <c r="T928" s="8"/>
      <c r="U928" s="8"/>
    </row>
    <row r="929" spans="20:21" ht="15.75" customHeight="1">
      <c r="T929" s="7"/>
      <c r="U929" s="7"/>
    </row>
    <row r="930" spans="20:21" ht="15.75" customHeight="1">
      <c r="T930" s="5"/>
      <c r="U930" s="5"/>
    </row>
    <row r="931" spans="20:21" ht="15.75" customHeight="1">
      <c r="T931" s="8"/>
      <c r="U931" s="8"/>
    </row>
    <row r="932" spans="20:21" ht="15.75" customHeight="1">
      <c r="T932" s="5"/>
      <c r="U932" s="5"/>
    </row>
    <row r="933" spans="20:21" ht="15.75" customHeight="1">
      <c r="T933" s="8"/>
      <c r="U933" s="8"/>
    </row>
    <row r="934" spans="20:21" ht="15.75" customHeight="1">
      <c r="T934" s="5"/>
      <c r="U934" s="5"/>
    </row>
    <row r="935" spans="20:21" ht="15.75" customHeight="1">
      <c r="T935" s="8"/>
      <c r="U935" s="8"/>
    </row>
    <row r="936" spans="20:21" ht="15.75" customHeight="1">
      <c r="T936" s="5"/>
      <c r="U936" s="5"/>
    </row>
    <row r="937" spans="20:21" ht="15.75" customHeight="1">
      <c r="T937" s="8"/>
      <c r="U937" s="8"/>
    </row>
    <row r="938" spans="20:21" ht="15.75" customHeight="1">
      <c r="T938" s="5"/>
      <c r="U938" s="5"/>
    </row>
    <row r="939" spans="20:21" ht="15.75" customHeight="1">
      <c r="T939" s="8"/>
      <c r="U939" s="8"/>
    </row>
    <row r="940" spans="20:21" ht="15.75" customHeight="1">
      <c r="T940" s="5"/>
      <c r="U940" s="5"/>
    </row>
    <row r="941" spans="20:21" ht="15.75" customHeight="1">
      <c r="T941" s="8"/>
      <c r="U941" s="8"/>
    </row>
    <row r="942" spans="20:21" ht="15.75" customHeight="1">
      <c r="T942" s="5"/>
      <c r="U942" s="5"/>
    </row>
    <row r="943" spans="20:21" ht="15.75" customHeight="1">
      <c r="T943" s="8"/>
      <c r="U943" s="8"/>
    </row>
    <row r="944" spans="20:21" ht="15.75" customHeight="1">
      <c r="T944" s="5"/>
      <c r="U944" s="5"/>
    </row>
    <row r="945" spans="20:21" ht="15.75" customHeight="1">
      <c r="T945" s="8"/>
      <c r="U945" s="8"/>
    </row>
    <row r="946" spans="20:21" ht="15.75" customHeight="1">
      <c r="T946" s="5"/>
      <c r="U946" s="5"/>
    </row>
    <row r="947" spans="20:21" ht="15.75" customHeight="1">
      <c r="T947" s="8"/>
      <c r="U947" s="8"/>
    </row>
    <row r="948" spans="20:21" ht="15.75" customHeight="1">
      <c r="T948" s="5"/>
      <c r="U948" s="5"/>
    </row>
    <row r="949" spans="20:21" ht="15.75" customHeight="1">
      <c r="T949" s="8"/>
      <c r="U949" s="8"/>
    </row>
    <row r="950" spans="20:21" ht="15.75" customHeight="1">
      <c r="T950" s="5"/>
      <c r="U950" s="5"/>
    </row>
    <row r="951" spans="20:21" ht="15.75" customHeight="1">
      <c r="T951" s="8"/>
      <c r="U951" s="8"/>
    </row>
    <row r="952" spans="20:21" ht="15.75" customHeight="1">
      <c r="T952" s="5"/>
      <c r="U952" s="5"/>
    </row>
    <row r="953" spans="20:21" ht="15.75" customHeight="1">
      <c r="T953" s="5"/>
      <c r="U953" s="5"/>
    </row>
    <row r="954" spans="20:21" ht="15.75" customHeight="1">
      <c r="T954" s="8"/>
      <c r="U954" s="8"/>
    </row>
    <row r="955" spans="20:21" ht="15.75" customHeight="1">
      <c r="T955" s="5"/>
      <c r="U955" s="5"/>
    </row>
    <row r="956" spans="20:21" ht="15.75" customHeight="1">
      <c r="T956" s="5"/>
      <c r="U956" s="5"/>
    </row>
    <row r="957" spans="20:21" ht="15.75" customHeight="1">
      <c r="T957" s="8"/>
      <c r="U957" s="8"/>
    </row>
    <row r="958" spans="20:21" ht="15.75" customHeight="1">
      <c r="T958" s="5"/>
      <c r="U958" s="5"/>
    </row>
    <row r="959" spans="20:21" ht="15.75" customHeight="1">
      <c r="T959" s="8"/>
      <c r="U959" s="8"/>
    </row>
    <row r="960" spans="20:21" ht="15.75" customHeight="1">
      <c r="T960" s="8"/>
      <c r="U960" s="8"/>
    </row>
    <row r="961" spans="20:21" ht="15.75" customHeight="1">
      <c r="T961" s="7"/>
      <c r="U961" s="7"/>
    </row>
    <row r="962" spans="20:21" ht="15.75" customHeight="1">
      <c r="T962" s="5"/>
      <c r="U962" s="5"/>
    </row>
    <row r="963" spans="20:21" ht="15.75" customHeight="1">
      <c r="T963" s="8"/>
      <c r="U963" s="8"/>
    </row>
    <row r="964" spans="20:21" ht="15.75" customHeight="1">
      <c r="T964" s="5"/>
      <c r="U964" s="5"/>
    </row>
    <row r="965" spans="20:21" ht="15.75" customHeight="1">
      <c r="T965" s="8"/>
      <c r="U965" s="8"/>
    </row>
    <row r="966" spans="20:21" ht="15.75" customHeight="1">
      <c r="T966" s="5"/>
      <c r="U966" s="5"/>
    </row>
    <row r="967" spans="20:21" ht="15.75" customHeight="1">
      <c r="T967" s="8"/>
      <c r="U967" s="8"/>
    </row>
    <row r="968" spans="20:21" ht="15.75" customHeight="1">
      <c r="T968" s="5"/>
      <c r="U968" s="5"/>
    </row>
    <row r="969" spans="20:21" ht="15.75" customHeight="1">
      <c r="T969" s="8"/>
      <c r="U969" s="8"/>
    </row>
    <row r="970" spans="20:21" ht="15.75" customHeight="1">
      <c r="T970" s="5"/>
      <c r="U970" s="5"/>
    </row>
    <row r="971" spans="20:21" ht="15.75" customHeight="1">
      <c r="T971" s="8"/>
      <c r="U971" s="8"/>
    </row>
    <row r="972" spans="20:21" ht="15.75" customHeight="1">
      <c r="T972" s="5"/>
      <c r="U972" s="5"/>
    </row>
    <row r="973" spans="20:21" ht="15.75" customHeight="1">
      <c r="T973" s="8"/>
      <c r="U973" s="8"/>
    </row>
    <row r="974" spans="20:21" ht="15.75" customHeight="1">
      <c r="T974" s="5"/>
      <c r="U974" s="5"/>
    </row>
    <row r="975" spans="20:21" ht="15.75" customHeight="1">
      <c r="T975" s="8"/>
      <c r="U975" s="8"/>
    </row>
    <row r="976" spans="20:21" ht="15.75" customHeight="1">
      <c r="T976" s="5"/>
      <c r="U976" s="5"/>
    </row>
    <row r="977" spans="20:21" ht="15.75" customHeight="1">
      <c r="T977" s="8"/>
      <c r="U977" s="8"/>
    </row>
    <row r="978" spans="20:21" ht="15.75" customHeight="1">
      <c r="T978" s="5"/>
      <c r="U978" s="5"/>
    </row>
    <row r="979" spans="20:21" ht="15.75" customHeight="1">
      <c r="T979" s="8"/>
      <c r="U979" s="8"/>
    </row>
    <row r="980" spans="20:21" ht="15.75" customHeight="1">
      <c r="T980" s="5"/>
      <c r="U980" s="5"/>
    </row>
    <row r="981" spans="20:21" ht="15.75" customHeight="1">
      <c r="T981" s="8"/>
      <c r="U981" s="8"/>
    </row>
    <row r="982" spans="20:21" ht="15.75" customHeight="1">
      <c r="T982" s="5"/>
      <c r="U982" s="5"/>
    </row>
    <row r="983" spans="20:21" ht="15.75" customHeight="1">
      <c r="T983" s="8"/>
      <c r="U983" s="8"/>
    </row>
    <row r="984" spans="20:21" ht="15.75" customHeight="1">
      <c r="T984" s="5"/>
      <c r="U984" s="5"/>
    </row>
    <row r="985" spans="20:21" ht="15.75" customHeight="1">
      <c r="T985" s="5"/>
      <c r="U985" s="5"/>
    </row>
    <row r="986" spans="20:21" ht="15.75" customHeight="1">
      <c r="T986" s="8"/>
      <c r="U986" s="8"/>
    </row>
    <row r="987" spans="20:21" ht="15.75" customHeight="1">
      <c r="T987" s="5"/>
      <c r="U987" s="5"/>
    </row>
    <row r="988" spans="20:21" ht="15.75" customHeight="1">
      <c r="T988" s="5"/>
      <c r="U988" s="5"/>
    </row>
    <row r="989" spans="20:21" ht="15.75" customHeight="1">
      <c r="T989" s="8"/>
      <c r="U989" s="8"/>
    </row>
    <row r="990" spans="20:21" ht="15.75" customHeight="1">
      <c r="T990" s="5"/>
      <c r="U990" s="5"/>
    </row>
    <row r="991" spans="20:21" ht="15.75" customHeight="1">
      <c r="T991" s="8"/>
      <c r="U991" s="8"/>
    </row>
    <row r="992" spans="20:21" ht="15.75" customHeight="1">
      <c r="T992" s="8"/>
      <c r="U992" s="8"/>
    </row>
    <row r="993" spans="20:21" ht="15.75" customHeight="1">
      <c r="T993" s="7"/>
      <c r="U993" s="7"/>
    </row>
    <row r="994" spans="20:21" ht="15.75" customHeight="1">
      <c r="T994" s="5"/>
      <c r="U994" s="5"/>
    </row>
    <row r="995" spans="20:21" ht="15.75" customHeight="1">
      <c r="T995" s="8"/>
      <c r="U995" s="8"/>
    </row>
    <row r="996" spans="20:21" ht="15.75" customHeight="1">
      <c r="T996" s="5"/>
      <c r="U996" s="5"/>
    </row>
    <row r="997" spans="20:21" ht="15.75" customHeight="1">
      <c r="T997" s="8"/>
      <c r="U997" s="8"/>
    </row>
    <row r="998" spans="20:21" ht="15.75" customHeight="1">
      <c r="T998" s="5"/>
      <c r="U998" s="5"/>
    </row>
    <row r="999" spans="20:21" ht="15.75" customHeight="1">
      <c r="T999" s="8"/>
      <c r="U999" s="8"/>
    </row>
    <row r="1000" spans="20:21" ht="15.75" customHeight="1">
      <c r="T1000" s="5"/>
      <c r="U1000" s="5"/>
    </row>
  </sheetData>
  <autoFilter ref="A1:W35" xr:uid="{00000000-0001-0000-0100-000000000000}"/>
  <conditionalFormatting sqref="L1:L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{B1C82F17-F107-4E87-9465-DFB093366E16}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{606B5919-F3F1-47A0-A847-F85589F55C49}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{A5B3281D-1E68-4DE1-ACE2-9E72C4900CB2}</x14:id>
        </ext>
      </extLst>
    </cfRule>
  </conditionalFormatting>
  <conditionalFormatting sqref="O2:O35">
    <cfRule type="containsText" dxfId="12" priority="2" operator="containsText" text="Electronics">
      <formula>NOT(ISERROR(SEARCH("Electronics",O2)))</formula>
    </cfRule>
  </conditionalFormatting>
  <pageMargins left="0" right="0" top="0" bottom="0" header="0" footer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C82F17-F107-4E87-9465-DFB093366E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06B5919-F3F1-47A0-A847-F85589F55C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5B3281D-1E68-4DE1-ACE2-9E72C4900C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3FFD-A0D8-474F-B213-8F379DDC9A51}">
  <dimension ref="A1:M1000"/>
  <sheetViews>
    <sheetView tabSelected="1" workbookViewId="0">
      <selection activeCell="J18" sqref="J18"/>
    </sheetView>
  </sheetViews>
  <sheetFormatPr defaultColWidth="8.85546875" defaultRowHeight="12.95"/>
  <cols>
    <col min="1" max="1" width="14" bestFit="1" customWidth="1"/>
    <col min="2" max="2" width="17.7109375" customWidth="1"/>
    <col min="3" max="3" width="24.42578125" bestFit="1" customWidth="1"/>
    <col min="4" max="4" width="13.42578125" style="9" customWidth="1"/>
    <col min="5" max="5" width="11.85546875" customWidth="1"/>
    <col min="6" max="6" width="12.42578125" customWidth="1"/>
    <col min="7" max="7" width="14" customWidth="1"/>
    <col min="8" max="8" width="17.28515625" customWidth="1"/>
    <col min="9" max="9" width="15.28515625" customWidth="1"/>
    <col min="10" max="10" width="12.140625" customWidth="1"/>
    <col min="12" max="12" width="6.140625" customWidth="1"/>
    <col min="13" max="13" width="169.7109375" customWidth="1"/>
  </cols>
  <sheetData>
    <row r="1" spans="1:13" ht="21" customHeight="1">
      <c r="A1" s="23" t="s">
        <v>19</v>
      </c>
      <c r="B1" s="24" t="s">
        <v>20</v>
      </c>
      <c r="C1" s="24" t="s">
        <v>146</v>
      </c>
      <c r="D1" s="25" t="s">
        <v>147</v>
      </c>
      <c r="E1" s="24" t="s">
        <v>23</v>
      </c>
      <c r="F1" s="24" t="s">
        <v>24</v>
      </c>
      <c r="G1" s="24" t="s">
        <v>148</v>
      </c>
      <c r="H1" s="24" t="s">
        <v>149</v>
      </c>
      <c r="I1" s="26" t="s">
        <v>150</v>
      </c>
      <c r="J1" s="27"/>
      <c r="K1" s="27"/>
      <c r="L1" s="27"/>
      <c r="M1" s="27"/>
    </row>
    <row r="2" spans="1:13" ht="15.95">
      <c r="A2" s="28" t="s">
        <v>30</v>
      </c>
      <c r="B2" s="28" t="s">
        <v>79</v>
      </c>
      <c r="C2" s="29" t="s">
        <v>151</v>
      </c>
      <c r="D2" s="30">
        <v>1000</v>
      </c>
      <c r="E2" s="29">
        <v>30</v>
      </c>
      <c r="F2" s="29" t="s">
        <v>33</v>
      </c>
      <c r="G2" s="29" t="s">
        <v>152</v>
      </c>
      <c r="H2" s="29" t="s">
        <v>35</v>
      </c>
      <c r="I2" s="31">
        <v>45685</v>
      </c>
      <c r="J2" s="27"/>
      <c r="K2" s="27"/>
      <c r="L2" s="27"/>
      <c r="M2" s="27"/>
    </row>
    <row r="3" spans="1:13" ht="15.95">
      <c r="A3" s="29" t="s">
        <v>36</v>
      </c>
      <c r="B3" s="29" t="s">
        <v>37</v>
      </c>
      <c r="C3" s="28" t="s">
        <v>153</v>
      </c>
      <c r="D3" s="32">
        <v>80</v>
      </c>
      <c r="E3" s="28">
        <v>15</v>
      </c>
      <c r="F3" s="28" t="s">
        <v>39</v>
      </c>
      <c r="G3" s="28" t="s">
        <v>154</v>
      </c>
      <c r="H3" s="28" t="s">
        <v>35</v>
      </c>
      <c r="I3" s="33">
        <v>45703</v>
      </c>
      <c r="J3" s="27"/>
      <c r="K3" s="41" t="s">
        <v>155</v>
      </c>
      <c r="L3" s="41"/>
      <c r="M3" s="37"/>
    </row>
    <row r="4" spans="1:13" ht="19.5" customHeight="1">
      <c r="A4" s="28" t="s">
        <v>41</v>
      </c>
      <c r="B4" s="28" t="s">
        <v>42</v>
      </c>
      <c r="C4" s="29" t="s">
        <v>156</v>
      </c>
      <c r="D4" s="30">
        <v>130</v>
      </c>
      <c r="E4" s="29">
        <v>40</v>
      </c>
      <c r="F4" s="29" t="s">
        <v>44</v>
      </c>
      <c r="G4" s="29" t="s">
        <v>157</v>
      </c>
      <c r="H4" s="29" t="s">
        <v>35</v>
      </c>
      <c r="I4" s="31">
        <v>45719</v>
      </c>
      <c r="J4" s="27"/>
      <c r="K4" s="40">
        <v>1</v>
      </c>
      <c r="L4" s="39" t="s">
        <v>158</v>
      </c>
      <c r="M4" s="38" t="s">
        <v>159</v>
      </c>
    </row>
    <row r="5" spans="1:13" ht="16.5" customHeight="1">
      <c r="A5" s="29" t="s">
        <v>46</v>
      </c>
      <c r="B5" s="29" t="s">
        <v>125</v>
      </c>
      <c r="C5" s="28" t="s">
        <v>160</v>
      </c>
      <c r="D5" s="32">
        <v>900</v>
      </c>
      <c r="E5" s="28">
        <v>25</v>
      </c>
      <c r="F5" s="28" t="s">
        <v>33</v>
      </c>
      <c r="G5" s="28" t="s">
        <v>161</v>
      </c>
      <c r="H5" s="28" t="s">
        <v>35</v>
      </c>
      <c r="I5" s="33">
        <v>45758</v>
      </c>
      <c r="J5" s="27"/>
      <c r="K5" s="40"/>
      <c r="L5" s="39" t="s">
        <v>162</v>
      </c>
      <c r="M5" s="38" t="s">
        <v>163</v>
      </c>
    </row>
    <row r="6" spans="1:13" ht="21" customHeight="1">
      <c r="A6" s="28" t="s">
        <v>50</v>
      </c>
      <c r="B6" s="28" t="s">
        <v>51</v>
      </c>
      <c r="C6" s="29" t="s">
        <v>164</v>
      </c>
      <c r="D6" s="30">
        <v>70</v>
      </c>
      <c r="E6" s="29">
        <v>20</v>
      </c>
      <c r="F6" s="29" t="s">
        <v>53</v>
      </c>
      <c r="G6" s="29" t="s">
        <v>165</v>
      </c>
      <c r="H6" s="29" t="s">
        <v>35</v>
      </c>
      <c r="I6" s="31">
        <v>45799</v>
      </c>
      <c r="J6" s="27"/>
      <c r="K6" s="40">
        <v>2</v>
      </c>
      <c r="L6" s="39" t="s">
        <v>158</v>
      </c>
      <c r="M6" s="38" t="s">
        <v>166</v>
      </c>
    </row>
    <row r="7" spans="1:13" ht="15.95">
      <c r="A7" s="29" t="s">
        <v>55</v>
      </c>
      <c r="B7" s="29" t="s">
        <v>56</v>
      </c>
      <c r="C7" s="28" t="s">
        <v>167</v>
      </c>
      <c r="D7" s="32">
        <v>250</v>
      </c>
      <c r="E7" s="28">
        <v>45</v>
      </c>
      <c r="F7" s="28" t="s">
        <v>33</v>
      </c>
      <c r="G7" s="28" t="s">
        <v>168</v>
      </c>
      <c r="H7" s="28" t="s">
        <v>60</v>
      </c>
      <c r="I7" s="33">
        <v>45815</v>
      </c>
      <c r="J7" s="27"/>
      <c r="K7" s="40"/>
      <c r="L7" s="39" t="s">
        <v>162</v>
      </c>
      <c r="M7" s="37" t="s">
        <v>169</v>
      </c>
    </row>
    <row r="8" spans="1:13" ht="15.95">
      <c r="A8" s="28" t="s">
        <v>61</v>
      </c>
      <c r="B8" s="28" t="s">
        <v>170</v>
      </c>
      <c r="C8" s="29" t="s">
        <v>171</v>
      </c>
      <c r="D8" s="30">
        <v>30</v>
      </c>
      <c r="E8" s="29">
        <v>5</v>
      </c>
      <c r="F8" s="29" t="s">
        <v>39</v>
      </c>
      <c r="G8" s="29" t="s">
        <v>172</v>
      </c>
      <c r="H8" s="29" t="s">
        <v>60</v>
      </c>
      <c r="I8" s="31">
        <v>45857</v>
      </c>
      <c r="J8" s="27"/>
      <c r="K8" s="40"/>
      <c r="L8" s="39" t="s">
        <v>173</v>
      </c>
      <c r="M8" s="37" t="s">
        <v>174</v>
      </c>
    </row>
    <row r="9" spans="1:13" ht="15.95">
      <c r="A9" s="29" t="s">
        <v>65</v>
      </c>
      <c r="B9" s="29" t="s">
        <v>66</v>
      </c>
      <c r="C9" s="28" t="s">
        <v>175</v>
      </c>
      <c r="D9" s="32">
        <v>90</v>
      </c>
      <c r="E9" s="28">
        <v>35</v>
      </c>
      <c r="F9" s="28" t="s">
        <v>44</v>
      </c>
      <c r="G9" s="28" t="s">
        <v>176</v>
      </c>
      <c r="H9" s="28" t="s">
        <v>60</v>
      </c>
      <c r="I9" s="33">
        <v>45892</v>
      </c>
      <c r="J9" s="27"/>
      <c r="K9" s="39">
        <v>3</v>
      </c>
      <c r="L9" s="39" t="s">
        <v>158</v>
      </c>
      <c r="M9" s="37" t="s">
        <v>177</v>
      </c>
    </row>
    <row r="10" spans="1:13" ht="15.95">
      <c r="A10" s="28" t="s">
        <v>69</v>
      </c>
      <c r="B10" s="28" t="s">
        <v>70</v>
      </c>
      <c r="C10" s="29" t="s">
        <v>178</v>
      </c>
      <c r="D10" s="30">
        <v>500</v>
      </c>
      <c r="E10" s="29">
        <v>50</v>
      </c>
      <c r="F10" s="29" t="s">
        <v>33</v>
      </c>
      <c r="G10" s="29" t="s">
        <v>179</v>
      </c>
      <c r="H10" s="29" t="s">
        <v>60</v>
      </c>
      <c r="I10" s="31">
        <v>45905</v>
      </c>
      <c r="J10" s="27"/>
      <c r="K10" s="40">
        <v>4</v>
      </c>
      <c r="L10" s="39" t="s">
        <v>158</v>
      </c>
      <c r="M10" s="37" t="s">
        <v>180</v>
      </c>
    </row>
    <row r="11" spans="1:13" ht="15.95">
      <c r="A11" s="29" t="s">
        <v>73</v>
      </c>
      <c r="B11" s="29" t="s">
        <v>74</v>
      </c>
      <c r="C11" s="28" t="s">
        <v>181</v>
      </c>
      <c r="D11" s="32">
        <v>130</v>
      </c>
      <c r="E11" s="28">
        <v>10</v>
      </c>
      <c r="F11" s="28" t="s">
        <v>76</v>
      </c>
      <c r="G11" s="28" t="s">
        <v>182</v>
      </c>
      <c r="H11" s="28" t="s">
        <v>60</v>
      </c>
      <c r="I11" s="33">
        <v>45944</v>
      </c>
      <c r="J11" s="27"/>
      <c r="K11" s="40"/>
      <c r="L11" s="39" t="s">
        <v>162</v>
      </c>
      <c r="M11" s="37" t="s">
        <v>183</v>
      </c>
    </row>
    <row r="12" spans="1:13" ht="15.95">
      <c r="A12" s="28" t="s">
        <v>78</v>
      </c>
      <c r="B12" s="28" t="s">
        <v>79</v>
      </c>
      <c r="C12" s="29" t="s">
        <v>184</v>
      </c>
      <c r="D12" s="30">
        <v>950</v>
      </c>
      <c r="E12" s="29">
        <v>25</v>
      </c>
      <c r="F12" s="29" t="s">
        <v>33</v>
      </c>
      <c r="G12" s="29" t="s">
        <v>185</v>
      </c>
      <c r="H12" s="29" t="s">
        <v>81</v>
      </c>
      <c r="I12" s="31">
        <v>45825</v>
      </c>
      <c r="J12" s="27"/>
      <c r="K12" s="40">
        <v>5</v>
      </c>
      <c r="L12" s="39" t="s">
        <v>158</v>
      </c>
      <c r="M12" s="37" t="s">
        <v>186</v>
      </c>
    </row>
    <row r="13" spans="1:13" ht="15.95">
      <c r="A13" s="29" t="s">
        <v>82</v>
      </c>
      <c r="B13" s="29" t="s">
        <v>37</v>
      </c>
      <c r="C13" s="28" t="s">
        <v>187</v>
      </c>
      <c r="D13" s="32">
        <v>90</v>
      </c>
      <c r="E13" s="28">
        <v>40</v>
      </c>
      <c r="F13" s="28" t="s">
        <v>39</v>
      </c>
      <c r="G13" s="28" t="s">
        <v>188</v>
      </c>
      <c r="H13" s="28" t="s">
        <v>84</v>
      </c>
      <c r="I13" s="33">
        <v>45986</v>
      </c>
      <c r="J13" s="27"/>
      <c r="K13" s="40"/>
      <c r="L13" s="39" t="s">
        <v>162</v>
      </c>
      <c r="M13" s="37" t="s">
        <v>189</v>
      </c>
    </row>
    <row r="14" spans="1:13" ht="15.95">
      <c r="A14" s="28" t="s">
        <v>85</v>
      </c>
      <c r="B14" s="28" t="s">
        <v>42</v>
      </c>
      <c r="C14" s="29" t="s">
        <v>190</v>
      </c>
      <c r="D14" s="30">
        <v>120</v>
      </c>
      <c r="E14" s="29">
        <v>35</v>
      </c>
      <c r="F14" s="29" t="s">
        <v>44</v>
      </c>
      <c r="G14" s="29" t="s">
        <v>191</v>
      </c>
      <c r="H14" s="29" t="s">
        <v>88</v>
      </c>
      <c r="I14" s="31">
        <v>45999</v>
      </c>
      <c r="J14" s="27"/>
      <c r="K14" s="40">
        <v>6</v>
      </c>
      <c r="L14" s="39" t="s">
        <v>158</v>
      </c>
      <c r="M14" s="37" t="s">
        <v>192</v>
      </c>
    </row>
    <row r="15" spans="1:13" ht="15.95">
      <c r="A15" s="29" t="s">
        <v>89</v>
      </c>
      <c r="B15" s="29" t="s">
        <v>90</v>
      </c>
      <c r="C15" s="28" t="s">
        <v>193</v>
      </c>
      <c r="D15" s="32">
        <v>150</v>
      </c>
      <c r="E15" s="28">
        <v>15</v>
      </c>
      <c r="F15" s="28" t="s">
        <v>33</v>
      </c>
      <c r="G15" s="28" t="s">
        <v>194</v>
      </c>
      <c r="H15" s="28" t="s">
        <v>92</v>
      </c>
      <c r="I15" s="33">
        <v>45706</v>
      </c>
      <c r="J15" s="27"/>
      <c r="K15" s="40"/>
      <c r="L15" s="39" t="s">
        <v>162</v>
      </c>
      <c r="M15" s="37" t="s">
        <v>195</v>
      </c>
    </row>
    <row r="16" spans="1:13" ht="15.95">
      <c r="A16" s="28" t="s">
        <v>93</v>
      </c>
      <c r="B16" s="28" t="s">
        <v>56</v>
      </c>
      <c r="C16" s="29" t="s">
        <v>196</v>
      </c>
      <c r="D16" s="30">
        <v>250</v>
      </c>
      <c r="E16" s="29">
        <v>20</v>
      </c>
      <c r="F16" s="29" t="s">
        <v>33</v>
      </c>
      <c r="G16" s="29" t="s">
        <v>197</v>
      </c>
      <c r="H16" s="29" t="s">
        <v>96</v>
      </c>
      <c r="I16" s="31">
        <v>45763</v>
      </c>
      <c r="J16" s="27"/>
      <c r="K16" s="27"/>
      <c r="L16" s="27"/>
      <c r="M16" s="27"/>
    </row>
    <row r="17" spans="1:13" ht="15.95">
      <c r="A17" s="29" t="s">
        <v>97</v>
      </c>
      <c r="B17" s="29" t="s">
        <v>98</v>
      </c>
      <c r="C17" s="28" t="s">
        <v>198</v>
      </c>
      <c r="D17" s="32">
        <v>50</v>
      </c>
      <c r="E17" s="28">
        <v>35</v>
      </c>
      <c r="F17" s="28" t="s">
        <v>53</v>
      </c>
      <c r="G17" s="28" t="s">
        <v>199</v>
      </c>
      <c r="H17" s="28" t="s">
        <v>92</v>
      </c>
      <c r="I17" s="33">
        <v>45890</v>
      </c>
      <c r="J17" s="27"/>
      <c r="K17" s="27"/>
      <c r="L17" s="27"/>
      <c r="M17" s="27"/>
    </row>
    <row r="18" spans="1:13" ht="15.95">
      <c r="A18" s="28" t="s">
        <v>100</v>
      </c>
      <c r="B18" s="28" t="s">
        <v>90</v>
      </c>
      <c r="C18" s="29" t="s">
        <v>200</v>
      </c>
      <c r="D18" s="30">
        <v>160</v>
      </c>
      <c r="E18" s="29">
        <v>15</v>
      </c>
      <c r="F18" s="29" t="s">
        <v>33</v>
      </c>
      <c r="G18" s="29" t="s">
        <v>201</v>
      </c>
      <c r="H18" s="29" t="s">
        <v>102</v>
      </c>
      <c r="I18" s="31">
        <v>45889</v>
      </c>
      <c r="J18" s="27"/>
      <c r="K18" s="27"/>
      <c r="L18" s="27"/>
      <c r="M18" s="27"/>
    </row>
    <row r="19" spans="1:13" ht="15.95">
      <c r="A19" s="29" t="s">
        <v>103</v>
      </c>
      <c r="B19" s="29" t="s">
        <v>79</v>
      </c>
      <c r="C19" s="28" t="s">
        <v>202</v>
      </c>
      <c r="D19" s="32">
        <v>980</v>
      </c>
      <c r="E19" s="28">
        <v>10</v>
      </c>
      <c r="F19" s="28" t="s">
        <v>33</v>
      </c>
      <c r="G19" s="28" t="s">
        <v>203</v>
      </c>
      <c r="H19" s="28" t="s">
        <v>105</v>
      </c>
      <c r="I19" s="33">
        <v>45684</v>
      </c>
      <c r="J19" s="27"/>
      <c r="K19" s="27"/>
      <c r="L19" s="27"/>
      <c r="M19" s="27"/>
    </row>
    <row r="20" spans="1:13" ht="15.95">
      <c r="A20" s="28" t="s">
        <v>106</v>
      </c>
      <c r="B20" s="28" t="s">
        <v>107</v>
      </c>
      <c r="C20" s="29" t="s">
        <v>204</v>
      </c>
      <c r="D20" s="30">
        <v>150</v>
      </c>
      <c r="E20" s="29">
        <v>15</v>
      </c>
      <c r="F20" s="29" t="s">
        <v>39</v>
      </c>
      <c r="G20" s="29" t="s">
        <v>205</v>
      </c>
      <c r="H20" s="29" t="s">
        <v>60</v>
      </c>
      <c r="I20" s="31">
        <v>45717</v>
      </c>
      <c r="J20" s="27"/>
      <c r="K20" s="27"/>
      <c r="L20" s="27"/>
      <c r="M20" s="27"/>
    </row>
    <row r="21" spans="1:13" ht="15.95">
      <c r="A21" s="29" t="s">
        <v>109</v>
      </c>
      <c r="B21" s="29" t="s">
        <v>110</v>
      </c>
      <c r="C21" s="28" t="s">
        <v>206</v>
      </c>
      <c r="D21" s="32">
        <v>130</v>
      </c>
      <c r="E21" s="28">
        <v>10</v>
      </c>
      <c r="F21" s="28" t="s">
        <v>76</v>
      </c>
      <c r="G21" s="28" t="s">
        <v>207</v>
      </c>
      <c r="H21" s="28" t="s">
        <v>35</v>
      </c>
      <c r="I21" s="33">
        <v>45883</v>
      </c>
      <c r="J21" s="27"/>
      <c r="K21" s="27"/>
      <c r="L21" s="27"/>
      <c r="M21" s="27"/>
    </row>
    <row r="22" spans="1:13" ht="15.95">
      <c r="A22" s="28" t="s">
        <v>113</v>
      </c>
      <c r="B22" s="28" t="s">
        <v>114</v>
      </c>
      <c r="C22" s="29" t="s">
        <v>208</v>
      </c>
      <c r="D22" s="30">
        <v>700</v>
      </c>
      <c r="E22" s="29">
        <v>50</v>
      </c>
      <c r="F22" s="29" t="s">
        <v>33</v>
      </c>
      <c r="G22" s="29" t="s">
        <v>209</v>
      </c>
      <c r="H22" s="29" t="s">
        <v>116</v>
      </c>
      <c r="I22" s="31">
        <v>45791</v>
      </c>
      <c r="J22" s="27"/>
      <c r="K22" s="27"/>
      <c r="L22" s="27"/>
      <c r="M22" s="27"/>
    </row>
    <row r="23" spans="1:13" ht="15.95">
      <c r="A23" s="29" t="s">
        <v>117</v>
      </c>
      <c r="B23" s="29" t="s">
        <v>118</v>
      </c>
      <c r="C23" s="28" t="s">
        <v>210</v>
      </c>
      <c r="D23" s="32">
        <v>80</v>
      </c>
      <c r="E23" s="28">
        <v>20</v>
      </c>
      <c r="F23" s="28" t="s">
        <v>44</v>
      </c>
      <c r="G23" s="28" t="s">
        <v>211</v>
      </c>
      <c r="H23" s="28" t="s">
        <v>92</v>
      </c>
      <c r="I23" s="33">
        <v>45666</v>
      </c>
      <c r="J23" s="27"/>
      <c r="K23" s="27"/>
      <c r="L23" s="27"/>
      <c r="M23" s="27"/>
    </row>
    <row r="24" spans="1:13" ht="15.95">
      <c r="A24" s="28" t="s">
        <v>120</v>
      </c>
      <c r="B24" s="28" t="s">
        <v>121</v>
      </c>
      <c r="C24" s="28" t="s">
        <v>212</v>
      </c>
      <c r="D24" s="32">
        <v>150</v>
      </c>
      <c r="E24" s="28">
        <v>30</v>
      </c>
      <c r="F24" s="28" t="s">
        <v>33</v>
      </c>
      <c r="G24" s="28" t="s">
        <v>172</v>
      </c>
      <c r="H24" s="28" t="s">
        <v>123</v>
      </c>
      <c r="I24" s="33">
        <v>45857</v>
      </c>
      <c r="J24" s="27"/>
      <c r="K24" s="27"/>
      <c r="L24" s="27"/>
      <c r="M24" s="27"/>
    </row>
    <row r="25" spans="1:13" ht="15.95">
      <c r="A25" s="28" t="s">
        <v>124</v>
      </c>
      <c r="B25" s="28" t="s">
        <v>125</v>
      </c>
      <c r="C25" s="29" t="s">
        <v>213</v>
      </c>
      <c r="D25" s="30">
        <v>800</v>
      </c>
      <c r="E25" s="29">
        <v>45</v>
      </c>
      <c r="F25" s="29" t="s">
        <v>33</v>
      </c>
      <c r="G25" s="29" t="s">
        <v>214</v>
      </c>
      <c r="H25" s="29" t="s">
        <v>92</v>
      </c>
      <c r="I25" s="31">
        <v>45929</v>
      </c>
      <c r="J25" s="27"/>
      <c r="K25" s="27"/>
      <c r="L25" s="27"/>
      <c r="M25" s="27"/>
    </row>
    <row r="26" spans="1:13" ht="15.95">
      <c r="A26" s="29" t="s">
        <v>127</v>
      </c>
      <c r="B26" s="29" t="s">
        <v>107</v>
      </c>
      <c r="C26" s="28" t="s">
        <v>215</v>
      </c>
      <c r="D26" s="32">
        <v>150</v>
      </c>
      <c r="E26" s="28">
        <v>25</v>
      </c>
      <c r="F26" s="28" t="s">
        <v>39</v>
      </c>
      <c r="G26" s="28" t="s">
        <v>216</v>
      </c>
      <c r="H26" s="28" t="s">
        <v>92</v>
      </c>
      <c r="I26" s="33">
        <v>45811</v>
      </c>
      <c r="J26" s="27"/>
      <c r="K26" s="27"/>
      <c r="L26" s="27"/>
      <c r="M26" s="27"/>
    </row>
    <row r="27" spans="1:13" ht="15.95">
      <c r="A27" s="28" t="s">
        <v>129</v>
      </c>
      <c r="B27" s="28" t="s">
        <v>66</v>
      </c>
      <c r="C27" s="28" t="s">
        <v>217</v>
      </c>
      <c r="D27" s="32">
        <v>400</v>
      </c>
      <c r="E27" s="28">
        <v>40</v>
      </c>
      <c r="F27" s="28" t="s">
        <v>44</v>
      </c>
      <c r="G27" s="28" t="s">
        <v>218</v>
      </c>
      <c r="H27" s="28" t="s">
        <v>92</v>
      </c>
      <c r="I27" s="33">
        <v>45849</v>
      </c>
      <c r="J27" s="27"/>
      <c r="K27" s="27"/>
      <c r="L27" s="27"/>
      <c r="M27" s="27"/>
    </row>
    <row r="28" spans="1:13" ht="15.95">
      <c r="A28" s="28" t="s">
        <v>131</v>
      </c>
      <c r="B28" s="28" t="s">
        <v>132</v>
      </c>
      <c r="C28" s="29" t="s">
        <v>219</v>
      </c>
      <c r="D28" s="30">
        <v>60</v>
      </c>
      <c r="E28" s="29">
        <v>30</v>
      </c>
      <c r="F28" s="29" t="s">
        <v>39</v>
      </c>
      <c r="G28" s="29" t="s">
        <v>220</v>
      </c>
      <c r="H28" s="29" t="s">
        <v>92</v>
      </c>
      <c r="I28" s="31">
        <v>45723</v>
      </c>
      <c r="J28" s="27"/>
      <c r="K28" s="27"/>
      <c r="L28" s="27"/>
      <c r="M28" s="27"/>
    </row>
    <row r="29" spans="1:13" ht="15.95">
      <c r="A29" s="29" t="s">
        <v>134</v>
      </c>
      <c r="B29" s="29" t="s">
        <v>135</v>
      </c>
      <c r="C29" s="28" t="s">
        <v>221</v>
      </c>
      <c r="D29" s="32">
        <v>40</v>
      </c>
      <c r="E29" s="28">
        <v>10</v>
      </c>
      <c r="F29" s="28" t="s">
        <v>44</v>
      </c>
      <c r="G29" s="28" t="s">
        <v>222</v>
      </c>
      <c r="H29" s="28" t="s">
        <v>92</v>
      </c>
      <c r="I29" s="33">
        <v>45760</v>
      </c>
      <c r="J29" s="27"/>
      <c r="K29" s="27"/>
      <c r="L29" s="27"/>
      <c r="M29" s="27"/>
    </row>
    <row r="30" spans="1:13" ht="15.95">
      <c r="A30" s="28" t="s">
        <v>137</v>
      </c>
      <c r="B30" s="28" t="s">
        <v>121</v>
      </c>
      <c r="C30" s="29" t="s">
        <v>223</v>
      </c>
      <c r="D30" s="30">
        <v>130</v>
      </c>
      <c r="E30" s="29">
        <v>5</v>
      </c>
      <c r="F30" s="29" t="s">
        <v>33</v>
      </c>
      <c r="G30" s="29" t="s">
        <v>224</v>
      </c>
      <c r="H30" s="29" t="s">
        <v>92</v>
      </c>
      <c r="I30" s="31">
        <v>45801</v>
      </c>
      <c r="J30" s="27"/>
      <c r="K30" s="27"/>
      <c r="L30" s="27"/>
      <c r="M30" s="27"/>
    </row>
    <row r="31" spans="1:13" ht="15.95">
      <c r="A31" s="29" t="s">
        <v>139</v>
      </c>
      <c r="B31" s="29" t="s">
        <v>140</v>
      </c>
      <c r="C31" s="29" t="s">
        <v>225</v>
      </c>
      <c r="D31" s="30">
        <v>50</v>
      </c>
      <c r="E31" s="29">
        <v>50</v>
      </c>
      <c r="F31" s="29" t="s">
        <v>39</v>
      </c>
      <c r="G31" s="29" t="s">
        <v>226</v>
      </c>
      <c r="H31" s="29" t="s">
        <v>92</v>
      </c>
      <c r="I31" s="31">
        <v>45993</v>
      </c>
      <c r="J31" s="27"/>
      <c r="K31" s="27"/>
      <c r="L31" s="27"/>
      <c r="M31" s="27"/>
    </row>
    <row r="32" spans="1:13" ht="15.95">
      <c r="A32" s="29" t="s">
        <v>142</v>
      </c>
      <c r="B32" s="29" t="s">
        <v>143</v>
      </c>
      <c r="C32" s="34" t="s">
        <v>227</v>
      </c>
      <c r="D32" s="35">
        <v>100</v>
      </c>
      <c r="E32" s="34">
        <v>20</v>
      </c>
      <c r="F32" s="34" t="s">
        <v>53</v>
      </c>
      <c r="G32" s="34" t="s">
        <v>228</v>
      </c>
      <c r="H32" s="34" t="s">
        <v>145</v>
      </c>
      <c r="I32" s="36">
        <v>45847</v>
      </c>
      <c r="J32" s="27"/>
      <c r="K32" s="27"/>
      <c r="L32" s="27"/>
      <c r="M32" s="27"/>
    </row>
    <row r="33" spans="1:9" ht="14.1">
      <c r="A33" s="12"/>
      <c r="B33" s="12" t="s">
        <v>229</v>
      </c>
      <c r="C33" s="12"/>
      <c r="D33" s="13"/>
      <c r="E33" s="12"/>
      <c r="F33" s="12"/>
      <c r="G33" s="12"/>
      <c r="H33" s="12"/>
      <c r="I33" s="22"/>
    </row>
    <row r="34" spans="1:9" ht="14.1">
      <c r="A34" s="12"/>
      <c r="B34" s="12" t="s">
        <v>229</v>
      </c>
      <c r="C34" s="12" t="s">
        <v>230</v>
      </c>
      <c r="D34" s="13"/>
      <c r="E34" s="12"/>
      <c r="F34" s="12"/>
      <c r="G34" s="12"/>
      <c r="H34" s="12"/>
      <c r="I34" s="22"/>
    </row>
    <row r="35" spans="1:9" ht="14.1">
      <c r="A35" s="12"/>
      <c r="B35" s="12" t="s">
        <v>229</v>
      </c>
      <c r="C35" s="12" t="s">
        <v>230</v>
      </c>
      <c r="D35" s="13"/>
      <c r="E35" s="12"/>
      <c r="F35" s="12"/>
      <c r="G35" s="12"/>
      <c r="H35" s="12"/>
      <c r="I35" s="22"/>
    </row>
    <row r="36" spans="1:9" ht="14.1">
      <c r="A36" s="12"/>
      <c r="B36" s="12"/>
      <c r="C36" s="12" t="s">
        <v>230</v>
      </c>
      <c r="D36" s="13"/>
      <c r="E36" s="12"/>
      <c r="F36" s="12"/>
      <c r="G36" s="12"/>
      <c r="H36" s="12"/>
      <c r="I36" s="22"/>
    </row>
    <row r="37" spans="1:9">
      <c r="I37" s="21"/>
    </row>
    <row r="38" spans="1:9">
      <c r="I38" s="21"/>
    </row>
    <row r="39" spans="1:9">
      <c r="I39" s="21"/>
    </row>
    <row r="40" spans="1:9">
      <c r="I40" s="21"/>
    </row>
    <row r="41" spans="1:9">
      <c r="I41" s="21"/>
    </row>
    <row r="42" spans="1:9">
      <c r="I42" s="21"/>
    </row>
    <row r="43" spans="1:9">
      <c r="I43" s="21"/>
    </row>
    <row r="44" spans="1:9">
      <c r="I44" s="21"/>
    </row>
    <row r="45" spans="1:9">
      <c r="I45" s="21"/>
    </row>
    <row r="46" spans="1:9">
      <c r="I46" s="21"/>
    </row>
    <row r="47" spans="1:9">
      <c r="I47" s="21"/>
    </row>
    <row r="48" spans="1:9">
      <c r="I48" s="21"/>
    </row>
    <row r="49" spans="9:9">
      <c r="I49" s="21"/>
    </row>
    <row r="50" spans="9:9">
      <c r="I50" s="21"/>
    </row>
    <row r="51" spans="9:9">
      <c r="I51" s="21"/>
    </row>
    <row r="52" spans="9:9">
      <c r="I52" s="21"/>
    </row>
    <row r="53" spans="9:9">
      <c r="I53" s="21"/>
    </row>
    <row r="54" spans="9:9">
      <c r="I54" s="21"/>
    </row>
    <row r="55" spans="9:9">
      <c r="I55" s="21"/>
    </row>
    <row r="56" spans="9:9">
      <c r="I56" s="21"/>
    </row>
    <row r="57" spans="9:9">
      <c r="I57" s="21"/>
    </row>
    <row r="58" spans="9:9">
      <c r="I58" s="21"/>
    </row>
    <row r="59" spans="9:9">
      <c r="I59" s="21"/>
    </row>
    <row r="60" spans="9:9">
      <c r="I60" s="21"/>
    </row>
    <row r="61" spans="9:9">
      <c r="I61" s="21"/>
    </row>
    <row r="62" spans="9:9">
      <c r="I62" s="21"/>
    </row>
    <row r="63" spans="9:9">
      <c r="I63" s="21"/>
    </row>
    <row r="64" spans="9:9">
      <c r="I64" s="21"/>
    </row>
    <row r="65" spans="9:9">
      <c r="I65" s="21"/>
    </row>
    <row r="66" spans="9:9">
      <c r="I66" s="21"/>
    </row>
    <row r="67" spans="9:9">
      <c r="I67" s="21"/>
    </row>
    <row r="68" spans="9:9">
      <c r="I68" s="21"/>
    </row>
    <row r="69" spans="9:9">
      <c r="I69" s="21"/>
    </row>
    <row r="70" spans="9:9">
      <c r="I70" s="21"/>
    </row>
    <row r="71" spans="9:9">
      <c r="I71" s="21"/>
    </row>
    <row r="72" spans="9:9">
      <c r="I72" s="21"/>
    </row>
    <row r="73" spans="9:9">
      <c r="I73" s="21"/>
    </row>
    <row r="74" spans="9:9">
      <c r="I74" s="21"/>
    </row>
    <row r="75" spans="9:9">
      <c r="I75" s="21"/>
    </row>
    <row r="76" spans="9:9">
      <c r="I76" s="21"/>
    </row>
    <row r="77" spans="9:9">
      <c r="I77" s="21"/>
    </row>
    <row r="78" spans="9:9">
      <c r="I78" s="21"/>
    </row>
    <row r="79" spans="9:9">
      <c r="I79" s="21"/>
    </row>
    <row r="80" spans="9:9">
      <c r="I80" s="21"/>
    </row>
    <row r="81" spans="9:9">
      <c r="I81" s="21"/>
    </row>
    <row r="82" spans="9:9">
      <c r="I82" s="21"/>
    </row>
    <row r="83" spans="9:9">
      <c r="I83" s="21"/>
    </row>
    <row r="84" spans="9:9">
      <c r="I84" s="21"/>
    </row>
    <row r="85" spans="9:9">
      <c r="I85" s="21"/>
    </row>
    <row r="86" spans="9:9">
      <c r="I86" s="21"/>
    </row>
    <row r="87" spans="9:9">
      <c r="I87" s="21"/>
    </row>
    <row r="88" spans="9:9">
      <c r="I88" s="21"/>
    </row>
    <row r="89" spans="9:9">
      <c r="I89" s="21"/>
    </row>
    <row r="90" spans="9:9">
      <c r="I90" s="21"/>
    </row>
    <row r="91" spans="9:9">
      <c r="I91" s="21"/>
    </row>
    <row r="92" spans="9:9">
      <c r="I92" s="21"/>
    </row>
    <row r="93" spans="9:9">
      <c r="I93" s="21"/>
    </row>
    <row r="94" spans="9:9">
      <c r="I94" s="21"/>
    </row>
    <row r="95" spans="9:9">
      <c r="I95" s="21"/>
    </row>
    <row r="96" spans="9:9">
      <c r="I96" s="21"/>
    </row>
    <row r="97" spans="9:9">
      <c r="I97" s="21"/>
    </row>
    <row r="98" spans="9:9">
      <c r="I98" s="21"/>
    </row>
    <row r="99" spans="9:9">
      <c r="I99" s="21"/>
    </row>
    <row r="100" spans="9:9">
      <c r="I100" s="21"/>
    </row>
    <row r="101" spans="9:9">
      <c r="I101" s="21"/>
    </row>
    <row r="102" spans="9:9">
      <c r="I102" s="21"/>
    </row>
    <row r="103" spans="9:9">
      <c r="I103" s="21"/>
    </row>
    <row r="104" spans="9:9">
      <c r="I104" s="21"/>
    </row>
    <row r="105" spans="9:9">
      <c r="I105" s="21"/>
    </row>
    <row r="106" spans="9:9">
      <c r="I106" s="21"/>
    </row>
    <row r="107" spans="9:9">
      <c r="I107" s="21"/>
    </row>
    <row r="108" spans="9:9">
      <c r="I108" s="21"/>
    </row>
    <row r="109" spans="9:9">
      <c r="I109" s="21"/>
    </row>
    <row r="110" spans="9:9">
      <c r="I110" s="21"/>
    </row>
    <row r="111" spans="9:9">
      <c r="I111" s="21"/>
    </row>
    <row r="112" spans="9:9">
      <c r="I112" s="21"/>
    </row>
    <row r="113" spans="9:9">
      <c r="I113" s="21"/>
    </row>
    <row r="114" spans="9:9">
      <c r="I114" s="21"/>
    </row>
    <row r="115" spans="9:9">
      <c r="I115" s="21"/>
    </row>
    <row r="116" spans="9:9">
      <c r="I116" s="21"/>
    </row>
    <row r="117" spans="9:9">
      <c r="I117" s="21"/>
    </row>
    <row r="118" spans="9:9">
      <c r="I118" s="21"/>
    </row>
    <row r="119" spans="9:9">
      <c r="I119" s="21"/>
    </row>
    <row r="120" spans="9:9">
      <c r="I120" s="21"/>
    </row>
    <row r="121" spans="9:9">
      <c r="I121" s="21"/>
    </row>
    <row r="122" spans="9:9">
      <c r="I122" s="21"/>
    </row>
    <row r="123" spans="9:9">
      <c r="I123" s="21"/>
    </row>
    <row r="124" spans="9:9">
      <c r="I124" s="21"/>
    </row>
    <row r="125" spans="9:9">
      <c r="I125" s="21"/>
    </row>
    <row r="126" spans="9:9">
      <c r="I126" s="21"/>
    </row>
    <row r="127" spans="9:9">
      <c r="I127" s="21"/>
    </row>
    <row r="128" spans="9:9">
      <c r="I128" s="21"/>
    </row>
    <row r="129" spans="9:9">
      <c r="I129" s="21"/>
    </row>
    <row r="130" spans="9:9">
      <c r="I130" s="21"/>
    </row>
    <row r="131" spans="9:9">
      <c r="I131" s="21"/>
    </row>
    <row r="132" spans="9:9">
      <c r="I132" s="21"/>
    </row>
    <row r="133" spans="9:9">
      <c r="I133" s="21"/>
    </row>
    <row r="134" spans="9:9">
      <c r="I134" s="21"/>
    </row>
    <row r="135" spans="9:9">
      <c r="I135" s="21"/>
    </row>
    <row r="136" spans="9:9">
      <c r="I136" s="21"/>
    </row>
    <row r="137" spans="9:9">
      <c r="I137" s="21"/>
    </row>
    <row r="138" spans="9:9">
      <c r="I138" s="21"/>
    </row>
    <row r="139" spans="9:9">
      <c r="I139" s="21"/>
    </row>
    <row r="140" spans="9:9">
      <c r="I140" s="21"/>
    </row>
    <row r="141" spans="9:9">
      <c r="I141" s="21"/>
    </row>
    <row r="142" spans="9:9">
      <c r="I142" s="21"/>
    </row>
    <row r="143" spans="9:9">
      <c r="I143" s="21"/>
    </row>
    <row r="144" spans="9:9">
      <c r="I144" s="21"/>
    </row>
    <row r="145" spans="9:9">
      <c r="I145" s="21"/>
    </row>
    <row r="146" spans="9:9">
      <c r="I146" s="21"/>
    </row>
    <row r="147" spans="9:9">
      <c r="I147" s="21"/>
    </row>
    <row r="148" spans="9:9">
      <c r="I148" s="21"/>
    </row>
    <row r="149" spans="9:9">
      <c r="I149" s="21"/>
    </row>
    <row r="150" spans="9:9">
      <c r="I150" s="21"/>
    </row>
    <row r="151" spans="9:9">
      <c r="I151" s="21"/>
    </row>
    <row r="152" spans="9:9">
      <c r="I152" s="21"/>
    </row>
    <row r="153" spans="9:9">
      <c r="I153" s="21"/>
    </row>
    <row r="154" spans="9:9">
      <c r="I154" s="21"/>
    </row>
    <row r="155" spans="9:9">
      <c r="I155" s="21"/>
    </row>
    <row r="156" spans="9:9">
      <c r="I156" s="21"/>
    </row>
    <row r="157" spans="9:9">
      <c r="I157" s="21"/>
    </row>
    <row r="158" spans="9:9">
      <c r="I158" s="21"/>
    </row>
    <row r="159" spans="9:9">
      <c r="I159" s="21"/>
    </row>
    <row r="160" spans="9:9">
      <c r="I160" s="21"/>
    </row>
    <row r="161" spans="9:9">
      <c r="I161" s="21"/>
    </row>
    <row r="162" spans="9:9">
      <c r="I162" s="21"/>
    </row>
    <row r="163" spans="9:9">
      <c r="I163" s="21"/>
    </row>
    <row r="164" spans="9:9">
      <c r="I164" s="21"/>
    </row>
    <row r="165" spans="9:9">
      <c r="I165" s="21"/>
    </row>
    <row r="166" spans="9:9">
      <c r="I166" s="21"/>
    </row>
    <row r="167" spans="9:9">
      <c r="I167" s="21"/>
    </row>
    <row r="168" spans="9:9">
      <c r="I168" s="21"/>
    </row>
    <row r="169" spans="9:9">
      <c r="I169" s="21"/>
    </row>
    <row r="170" spans="9:9">
      <c r="I170" s="21"/>
    </row>
    <row r="171" spans="9:9">
      <c r="I171" s="21"/>
    </row>
    <row r="172" spans="9:9">
      <c r="I172" s="21"/>
    </row>
    <row r="173" spans="9:9">
      <c r="I173" s="21"/>
    </row>
    <row r="174" spans="9:9">
      <c r="I174" s="21"/>
    </row>
    <row r="175" spans="9:9">
      <c r="I175" s="21"/>
    </row>
    <row r="176" spans="9:9">
      <c r="I176" s="21"/>
    </row>
    <row r="177" spans="9:9">
      <c r="I177" s="21"/>
    </row>
    <row r="178" spans="9:9">
      <c r="I178" s="21"/>
    </row>
    <row r="179" spans="9:9">
      <c r="I179" s="21"/>
    </row>
    <row r="180" spans="9:9">
      <c r="I180" s="21"/>
    </row>
    <row r="181" spans="9:9">
      <c r="I181" s="21"/>
    </row>
    <row r="182" spans="9:9">
      <c r="I182" s="21"/>
    </row>
    <row r="183" spans="9:9">
      <c r="I183" s="21"/>
    </row>
    <row r="184" spans="9:9">
      <c r="I184" s="21"/>
    </row>
    <row r="185" spans="9:9">
      <c r="I185" s="21"/>
    </row>
    <row r="186" spans="9:9">
      <c r="I186" s="21"/>
    </row>
    <row r="187" spans="9:9">
      <c r="I187" s="21"/>
    </row>
    <row r="188" spans="9:9">
      <c r="I188" s="21"/>
    </row>
    <row r="189" spans="9:9">
      <c r="I189" s="21"/>
    </row>
    <row r="190" spans="9:9">
      <c r="I190" s="21"/>
    </row>
    <row r="191" spans="9:9">
      <c r="I191" s="21"/>
    </row>
    <row r="192" spans="9:9">
      <c r="I192" s="21"/>
    </row>
    <row r="193" spans="9:9">
      <c r="I193" s="21"/>
    </row>
    <row r="194" spans="9:9">
      <c r="I194" s="21"/>
    </row>
    <row r="195" spans="9:9">
      <c r="I195" s="21"/>
    </row>
    <row r="196" spans="9:9">
      <c r="I196" s="21"/>
    </row>
    <row r="197" spans="9:9">
      <c r="I197" s="21"/>
    </row>
    <row r="198" spans="9:9">
      <c r="I198" s="21"/>
    </row>
    <row r="199" spans="9:9">
      <c r="I199" s="21"/>
    </row>
    <row r="200" spans="9:9">
      <c r="I200" s="21"/>
    </row>
    <row r="201" spans="9:9">
      <c r="I201" s="21"/>
    </row>
    <row r="202" spans="9:9">
      <c r="I202" s="21"/>
    </row>
    <row r="203" spans="9:9">
      <c r="I203" s="21"/>
    </row>
    <row r="204" spans="9:9">
      <c r="I204" s="21"/>
    </row>
    <row r="205" spans="9:9">
      <c r="I205" s="21"/>
    </row>
    <row r="206" spans="9:9">
      <c r="I206" s="21"/>
    </row>
    <row r="207" spans="9:9">
      <c r="I207" s="21"/>
    </row>
    <row r="208" spans="9:9">
      <c r="I208" s="21"/>
    </row>
    <row r="209" spans="9:9">
      <c r="I209" s="21"/>
    </row>
    <row r="210" spans="9:9">
      <c r="I210" s="21"/>
    </row>
    <row r="211" spans="9:9">
      <c r="I211" s="21"/>
    </row>
    <row r="212" spans="9:9">
      <c r="I212" s="21"/>
    </row>
    <row r="213" spans="9:9">
      <c r="I213" s="21"/>
    </row>
    <row r="214" spans="9:9">
      <c r="I214" s="21"/>
    </row>
    <row r="215" spans="9:9">
      <c r="I215" s="21"/>
    </row>
    <row r="216" spans="9:9">
      <c r="I216" s="21"/>
    </row>
    <row r="217" spans="9:9">
      <c r="I217" s="21"/>
    </row>
    <row r="218" spans="9:9">
      <c r="I218" s="21"/>
    </row>
    <row r="219" spans="9:9">
      <c r="I219" s="21"/>
    </row>
    <row r="220" spans="9:9">
      <c r="I220" s="21"/>
    </row>
    <row r="221" spans="9:9">
      <c r="I221" s="21"/>
    </row>
    <row r="222" spans="9:9">
      <c r="I222" s="21"/>
    </row>
    <row r="223" spans="9:9">
      <c r="I223" s="21"/>
    </row>
    <row r="224" spans="9:9">
      <c r="I224" s="21"/>
    </row>
    <row r="225" spans="9:9">
      <c r="I225" s="21"/>
    </row>
    <row r="226" spans="9:9">
      <c r="I226" s="21"/>
    </row>
    <row r="227" spans="9:9">
      <c r="I227" s="21"/>
    </row>
    <row r="228" spans="9:9">
      <c r="I228" s="21"/>
    </row>
    <row r="229" spans="9:9">
      <c r="I229" s="21"/>
    </row>
    <row r="230" spans="9:9">
      <c r="I230" s="21"/>
    </row>
    <row r="231" spans="9:9">
      <c r="I231" s="21"/>
    </row>
    <row r="232" spans="9:9">
      <c r="I232" s="21"/>
    </row>
    <row r="233" spans="9:9">
      <c r="I233" s="21"/>
    </row>
    <row r="234" spans="9:9">
      <c r="I234" s="21"/>
    </row>
    <row r="235" spans="9:9">
      <c r="I235" s="21"/>
    </row>
    <row r="236" spans="9:9">
      <c r="I236" s="21"/>
    </row>
    <row r="237" spans="9:9">
      <c r="I237" s="21"/>
    </row>
    <row r="238" spans="9:9">
      <c r="I238" s="21"/>
    </row>
    <row r="239" spans="9:9">
      <c r="I239" s="21"/>
    </row>
    <row r="240" spans="9:9">
      <c r="I240" s="21"/>
    </row>
    <row r="241" spans="9:9">
      <c r="I241" s="21"/>
    </row>
    <row r="242" spans="9:9">
      <c r="I242" s="21"/>
    </row>
    <row r="243" spans="9:9">
      <c r="I243" s="21"/>
    </row>
    <row r="244" spans="9:9">
      <c r="I244" s="21"/>
    </row>
    <row r="245" spans="9:9">
      <c r="I245" s="21"/>
    </row>
    <row r="246" spans="9:9">
      <c r="I246" s="21"/>
    </row>
    <row r="247" spans="9:9">
      <c r="I247" s="21"/>
    </row>
    <row r="248" spans="9:9">
      <c r="I248" s="21"/>
    </row>
    <row r="249" spans="9:9">
      <c r="I249" s="21"/>
    </row>
    <row r="250" spans="9:9">
      <c r="I250" s="21"/>
    </row>
    <row r="251" spans="9:9">
      <c r="I251" s="21"/>
    </row>
    <row r="252" spans="9:9">
      <c r="I252" s="21"/>
    </row>
    <row r="253" spans="9:9">
      <c r="I253" s="21"/>
    </row>
    <row r="254" spans="9:9">
      <c r="I254" s="21"/>
    </row>
    <row r="255" spans="9:9">
      <c r="I255" s="21"/>
    </row>
    <row r="256" spans="9:9">
      <c r="I256" s="21"/>
    </row>
    <row r="257" spans="9:9">
      <c r="I257" s="21"/>
    </row>
    <row r="258" spans="9:9">
      <c r="I258" s="21"/>
    </row>
    <row r="259" spans="9:9">
      <c r="I259" s="21"/>
    </row>
    <row r="260" spans="9:9">
      <c r="I260" s="21"/>
    </row>
    <row r="261" spans="9:9">
      <c r="I261" s="21"/>
    </row>
    <row r="262" spans="9:9">
      <c r="I262" s="21"/>
    </row>
    <row r="263" spans="9:9">
      <c r="I263" s="21"/>
    </row>
    <row r="264" spans="9:9">
      <c r="I264" s="21"/>
    </row>
    <row r="265" spans="9:9">
      <c r="I265" s="21"/>
    </row>
    <row r="266" spans="9:9">
      <c r="I266" s="21"/>
    </row>
    <row r="267" spans="9:9">
      <c r="I267" s="21"/>
    </row>
    <row r="268" spans="9:9">
      <c r="I268" s="21"/>
    </row>
    <row r="269" spans="9:9">
      <c r="I269" s="21"/>
    </row>
    <row r="270" spans="9:9">
      <c r="I270" s="21"/>
    </row>
    <row r="271" spans="9:9">
      <c r="I271" s="21"/>
    </row>
    <row r="272" spans="9:9">
      <c r="I272" s="21"/>
    </row>
    <row r="273" spans="9:9">
      <c r="I273" s="21"/>
    </row>
    <row r="274" spans="9:9">
      <c r="I274" s="21"/>
    </row>
    <row r="275" spans="9:9">
      <c r="I275" s="21"/>
    </row>
    <row r="276" spans="9:9">
      <c r="I276" s="21"/>
    </row>
    <row r="277" spans="9:9">
      <c r="I277" s="21"/>
    </row>
    <row r="278" spans="9:9">
      <c r="I278" s="21"/>
    </row>
    <row r="279" spans="9:9">
      <c r="I279" s="21"/>
    </row>
    <row r="280" spans="9:9">
      <c r="I280" s="21"/>
    </row>
    <row r="281" spans="9:9">
      <c r="I281" s="21"/>
    </row>
    <row r="282" spans="9:9">
      <c r="I282" s="21"/>
    </row>
    <row r="283" spans="9:9">
      <c r="I283" s="21"/>
    </row>
    <row r="284" spans="9:9">
      <c r="I284" s="21"/>
    </row>
    <row r="285" spans="9:9">
      <c r="I285" s="21"/>
    </row>
    <row r="286" spans="9:9">
      <c r="I286" s="21"/>
    </row>
    <row r="287" spans="9:9">
      <c r="I287" s="21"/>
    </row>
    <row r="288" spans="9:9">
      <c r="I288" s="21"/>
    </row>
    <row r="289" spans="9:9">
      <c r="I289" s="21"/>
    </row>
    <row r="290" spans="9:9">
      <c r="I290" s="21"/>
    </row>
    <row r="291" spans="9:9">
      <c r="I291" s="21"/>
    </row>
    <row r="292" spans="9:9">
      <c r="I292" s="21"/>
    </row>
    <row r="293" spans="9:9">
      <c r="I293" s="21"/>
    </row>
    <row r="294" spans="9:9">
      <c r="I294" s="21"/>
    </row>
    <row r="295" spans="9:9">
      <c r="I295" s="21"/>
    </row>
    <row r="296" spans="9:9">
      <c r="I296" s="21"/>
    </row>
    <row r="297" spans="9:9">
      <c r="I297" s="21"/>
    </row>
    <row r="298" spans="9:9">
      <c r="I298" s="21"/>
    </row>
    <row r="299" spans="9:9">
      <c r="I299" s="21"/>
    </row>
    <row r="300" spans="9:9">
      <c r="I300" s="21"/>
    </row>
    <row r="301" spans="9:9">
      <c r="I301" s="21"/>
    </row>
    <row r="302" spans="9:9">
      <c r="I302" s="21"/>
    </row>
    <row r="303" spans="9:9">
      <c r="I303" s="21"/>
    </row>
    <row r="304" spans="9:9">
      <c r="I304" s="21"/>
    </row>
    <row r="305" spans="9:9">
      <c r="I305" s="21"/>
    </row>
    <row r="306" spans="9:9">
      <c r="I306" s="21"/>
    </row>
    <row r="307" spans="9:9">
      <c r="I307" s="21"/>
    </row>
    <row r="308" spans="9:9">
      <c r="I308" s="21"/>
    </row>
    <row r="309" spans="9:9">
      <c r="I309" s="21"/>
    </row>
    <row r="310" spans="9:9">
      <c r="I310" s="21"/>
    </row>
    <row r="311" spans="9:9">
      <c r="I311" s="21"/>
    </row>
    <row r="312" spans="9:9">
      <c r="I312" s="21"/>
    </row>
    <row r="313" spans="9:9">
      <c r="I313" s="21"/>
    </row>
    <row r="314" spans="9:9">
      <c r="I314" s="21"/>
    </row>
    <row r="315" spans="9:9">
      <c r="I315" s="21"/>
    </row>
    <row r="316" spans="9:9">
      <c r="I316" s="21"/>
    </row>
    <row r="317" spans="9:9">
      <c r="I317" s="21"/>
    </row>
    <row r="318" spans="9:9">
      <c r="I318" s="21"/>
    </row>
    <row r="319" spans="9:9">
      <c r="I319" s="21"/>
    </row>
    <row r="320" spans="9:9">
      <c r="I320" s="21"/>
    </row>
    <row r="321" spans="9:9">
      <c r="I321" s="21"/>
    </row>
    <row r="322" spans="9:9">
      <c r="I322" s="21"/>
    </row>
    <row r="323" spans="9:9">
      <c r="I323" s="21"/>
    </row>
    <row r="324" spans="9:9">
      <c r="I324" s="21"/>
    </row>
    <row r="325" spans="9:9">
      <c r="I325" s="21"/>
    </row>
    <row r="326" spans="9:9">
      <c r="I326" s="21"/>
    </row>
    <row r="327" spans="9:9">
      <c r="I327" s="21"/>
    </row>
    <row r="328" spans="9:9">
      <c r="I328" s="21"/>
    </row>
    <row r="329" spans="9:9">
      <c r="I329" s="21"/>
    </row>
    <row r="330" spans="9:9">
      <c r="I330" s="21"/>
    </row>
    <row r="331" spans="9:9">
      <c r="I331" s="21"/>
    </row>
    <row r="332" spans="9:9">
      <c r="I332" s="21"/>
    </row>
    <row r="333" spans="9:9">
      <c r="I333" s="21"/>
    </row>
    <row r="334" spans="9:9">
      <c r="I334" s="21"/>
    </row>
    <row r="335" spans="9:9">
      <c r="I335" s="21"/>
    </row>
    <row r="336" spans="9:9">
      <c r="I336" s="21"/>
    </row>
    <row r="337" spans="9:9">
      <c r="I337" s="21"/>
    </row>
    <row r="338" spans="9:9">
      <c r="I338" s="21"/>
    </row>
    <row r="339" spans="9:9">
      <c r="I339" s="21"/>
    </row>
    <row r="340" spans="9:9">
      <c r="I340" s="21"/>
    </row>
    <row r="341" spans="9:9">
      <c r="I341" s="21"/>
    </row>
    <row r="342" spans="9:9">
      <c r="I342" s="21"/>
    </row>
    <row r="343" spans="9:9">
      <c r="I343" s="21"/>
    </row>
    <row r="344" spans="9:9">
      <c r="I344" s="21"/>
    </row>
    <row r="345" spans="9:9">
      <c r="I345" s="21"/>
    </row>
    <row r="346" spans="9:9">
      <c r="I346" s="21"/>
    </row>
    <row r="347" spans="9:9">
      <c r="I347" s="21"/>
    </row>
    <row r="348" spans="9:9">
      <c r="I348" s="21"/>
    </row>
    <row r="349" spans="9:9">
      <c r="I349" s="21"/>
    </row>
    <row r="350" spans="9:9">
      <c r="I350" s="21"/>
    </row>
    <row r="351" spans="9:9">
      <c r="I351" s="21"/>
    </row>
    <row r="352" spans="9:9">
      <c r="I352" s="21"/>
    </row>
    <row r="353" spans="9:9">
      <c r="I353" s="21"/>
    </row>
    <row r="354" spans="9:9">
      <c r="I354" s="21"/>
    </row>
    <row r="355" spans="9:9">
      <c r="I355" s="21"/>
    </row>
    <row r="356" spans="9:9">
      <c r="I356" s="21"/>
    </row>
    <row r="357" spans="9:9">
      <c r="I357" s="21"/>
    </row>
    <row r="358" spans="9:9">
      <c r="I358" s="21"/>
    </row>
    <row r="359" spans="9:9">
      <c r="I359" s="21"/>
    </row>
    <row r="360" spans="9:9">
      <c r="I360" s="21"/>
    </row>
    <row r="361" spans="9:9">
      <c r="I361" s="21"/>
    </row>
    <row r="362" spans="9:9">
      <c r="I362" s="21"/>
    </row>
    <row r="363" spans="9:9">
      <c r="I363" s="21"/>
    </row>
    <row r="364" spans="9:9">
      <c r="I364" s="21"/>
    </row>
    <row r="365" spans="9:9">
      <c r="I365" s="21"/>
    </row>
    <row r="366" spans="9:9">
      <c r="I366" s="21"/>
    </row>
    <row r="367" spans="9:9">
      <c r="I367" s="21"/>
    </row>
    <row r="368" spans="9:9">
      <c r="I368" s="21"/>
    </row>
    <row r="369" spans="9:9">
      <c r="I369" s="21"/>
    </row>
    <row r="370" spans="9:9">
      <c r="I370" s="21"/>
    </row>
    <row r="371" spans="9:9">
      <c r="I371" s="21"/>
    </row>
    <row r="372" spans="9:9">
      <c r="I372" s="21"/>
    </row>
    <row r="373" spans="9:9">
      <c r="I373" s="21"/>
    </row>
    <row r="374" spans="9:9">
      <c r="I374" s="21"/>
    </row>
    <row r="375" spans="9:9">
      <c r="I375" s="21"/>
    </row>
    <row r="376" spans="9:9">
      <c r="I376" s="21"/>
    </row>
    <row r="377" spans="9:9">
      <c r="I377" s="21"/>
    </row>
    <row r="378" spans="9:9">
      <c r="I378" s="21"/>
    </row>
    <row r="379" spans="9:9">
      <c r="I379" s="21"/>
    </row>
    <row r="380" spans="9:9">
      <c r="I380" s="21"/>
    </row>
    <row r="381" spans="9:9">
      <c r="I381" s="21"/>
    </row>
    <row r="382" spans="9:9">
      <c r="I382" s="21"/>
    </row>
    <row r="383" spans="9:9">
      <c r="I383" s="21"/>
    </row>
    <row r="384" spans="9:9">
      <c r="I384" s="21"/>
    </row>
    <row r="385" spans="9:9">
      <c r="I385" s="21"/>
    </row>
    <row r="386" spans="9:9">
      <c r="I386" s="21"/>
    </row>
    <row r="387" spans="9:9">
      <c r="I387" s="21"/>
    </row>
    <row r="388" spans="9:9">
      <c r="I388" s="21"/>
    </row>
    <row r="389" spans="9:9">
      <c r="I389" s="21"/>
    </row>
    <row r="390" spans="9:9">
      <c r="I390" s="21"/>
    </row>
    <row r="391" spans="9:9">
      <c r="I391" s="21"/>
    </row>
    <row r="392" spans="9:9">
      <c r="I392" s="21"/>
    </row>
    <row r="393" spans="9:9">
      <c r="I393" s="21"/>
    </row>
    <row r="394" spans="9:9">
      <c r="I394" s="21"/>
    </row>
    <row r="395" spans="9:9">
      <c r="I395" s="21"/>
    </row>
    <row r="396" spans="9:9">
      <c r="I396" s="21"/>
    </row>
    <row r="397" spans="9:9">
      <c r="I397" s="21"/>
    </row>
    <row r="398" spans="9:9">
      <c r="I398" s="21"/>
    </row>
    <row r="399" spans="9:9">
      <c r="I399" s="21"/>
    </row>
    <row r="400" spans="9:9">
      <c r="I400" s="21"/>
    </row>
    <row r="401" spans="9:9">
      <c r="I401" s="21"/>
    </row>
    <row r="402" spans="9:9">
      <c r="I402" s="21"/>
    </row>
    <row r="403" spans="9:9">
      <c r="I403" s="21"/>
    </row>
    <row r="404" spans="9:9">
      <c r="I404" s="21"/>
    </row>
    <row r="405" spans="9:9">
      <c r="I405" s="21"/>
    </row>
    <row r="406" spans="9:9">
      <c r="I406" s="21"/>
    </row>
    <row r="407" spans="9:9">
      <c r="I407" s="21"/>
    </row>
    <row r="408" spans="9:9">
      <c r="I408" s="21"/>
    </row>
    <row r="409" spans="9:9">
      <c r="I409" s="21"/>
    </row>
    <row r="410" spans="9:9">
      <c r="I410" s="21"/>
    </row>
    <row r="411" spans="9:9">
      <c r="I411" s="21"/>
    </row>
    <row r="412" spans="9:9">
      <c r="I412" s="21"/>
    </row>
    <row r="413" spans="9:9">
      <c r="I413" s="21"/>
    </row>
    <row r="414" spans="9:9">
      <c r="I414" s="21"/>
    </row>
    <row r="415" spans="9:9">
      <c r="I415" s="21"/>
    </row>
    <row r="416" spans="9:9">
      <c r="I416" s="21"/>
    </row>
    <row r="417" spans="9:9">
      <c r="I417" s="21"/>
    </row>
    <row r="418" spans="9:9">
      <c r="I418" s="21"/>
    </row>
    <row r="419" spans="9:9">
      <c r="I419" s="21"/>
    </row>
    <row r="420" spans="9:9">
      <c r="I420" s="21"/>
    </row>
    <row r="421" spans="9:9">
      <c r="I421" s="21"/>
    </row>
    <row r="422" spans="9:9">
      <c r="I422" s="21"/>
    </row>
    <row r="423" spans="9:9">
      <c r="I423" s="21"/>
    </row>
    <row r="424" spans="9:9">
      <c r="I424" s="21"/>
    </row>
    <row r="425" spans="9:9">
      <c r="I425" s="21"/>
    </row>
    <row r="426" spans="9:9">
      <c r="I426" s="21"/>
    </row>
    <row r="427" spans="9:9">
      <c r="I427" s="21"/>
    </row>
    <row r="428" spans="9:9">
      <c r="I428" s="21"/>
    </row>
    <row r="429" spans="9:9">
      <c r="I429" s="21"/>
    </row>
    <row r="430" spans="9:9">
      <c r="I430" s="21"/>
    </row>
    <row r="431" spans="9:9">
      <c r="I431" s="21"/>
    </row>
    <row r="432" spans="9:9">
      <c r="I432" s="21"/>
    </row>
    <row r="433" spans="9:9">
      <c r="I433" s="21"/>
    </row>
    <row r="434" spans="9:9">
      <c r="I434" s="21"/>
    </row>
    <row r="435" spans="9:9">
      <c r="I435" s="21"/>
    </row>
    <row r="436" spans="9:9">
      <c r="I436" s="21"/>
    </row>
    <row r="437" spans="9:9">
      <c r="I437" s="21"/>
    </row>
    <row r="438" spans="9:9">
      <c r="I438" s="21"/>
    </row>
    <row r="439" spans="9:9">
      <c r="I439" s="21"/>
    </row>
    <row r="440" spans="9:9">
      <c r="I440" s="21"/>
    </row>
    <row r="441" spans="9:9">
      <c r="I441" s="21"/>
    </row>
    <row r="442" spans="9:9">
      <c r="I442" s="21"/>
    </row>
    <row r="443" spans="9:9">
      <c r="I443" s="21"/>
    </row>
    <row r="444" spans="9:9">
      <c r="I444" s="21"/>
    </row>
    <row r="445" spans="9:9">
      <c r="I445" s="21"/>
    </row>
    <row r="446" spans="9:9">
      <c r="I446" s="21"/>
    </row>
    <row r="447" spans="9:9">
      <c r="I447" s="21"/>
    </row>
    <row r="448" spans="9:9">
      <c r="I448" s="21"/>
    </row>
    <row r="449" spans="9:9">
      <c r="I449" s="21"/>
    </row>
    <row r="450" spans="9:9">
      <c r="I450" s="21"/>
    </row>
    <row r="451" spans="9:9">
      <c r="I451" s="21"/>
    </row>
    <row r="452" spans="9:9">
      <c r="I452" s="21"/>
    </row>
    <row r="453" spans="9:9">
      <c r="I453" s="21"/>
    </row>
    <row r="454" spans="9:9">
      <c r="I454" s="21"/>
    </row>
    <row r="455" spans="9:9">
      <c r="I455" s="21"/>
    </row>
    <row r="456" spans="9:9">
      <c r="I456" s="21"/>
    </row>
    <row r="457" spans="9:9">
      <c r="I457" s="21"/>
    </row>
    <row r="458" spans="9:9">
      <c r="I458" s="21"/>
    </row>
    <row r="459" spans="9:9">
      <c r="I459" s="21"/>
    </row>
    <row r="460" spans="9:9">
      <c r="I460" s="21"/>
    </row>
    <row r="461" spans="9:9">
      <c r="I461" s="21"/>
    </row>
    <row r="462" spans="9:9">
      <c r="I462" s="21"/>
    </row>
    <row r="463" spans="9:9">
      <c r="I463" s="21"/>
    </row>
    <row r="464" spans="9:9">
      <c r="I464" s="21"/>
    </row>
    <row r="465" spans="9:9">
      <c r="I465" s="21"/>
    </row>
    <row r="466" spans="9:9">
      <c r="I466" s="21"/>
    </row>
    <row r="467" spans="9:9">
      <c r="I467" s="21"/>
    </row>
    <row r="468" spans="9:9">
      <c r="I468" s="21"/>
    </row>
    <row r="469" spans="9:9">
      <c r="I469" s="21"/>
    </row>
    <row r="470" spans="9:9">
      <c r="I470" s="21"/>
    </row>
    <row r="471" spans="9:9">
      <c r="I471" s="21"/>
    </row>
    <row r="472" spans="9:9">
      <c r="I472" s="21"/>
    </row>
    <row r="473" spans="9:9">
      <c r="I473" s="21"/>
    </row>
    <row r="474" spans="9:9">
      <c r="I474" s="21"/>
    </row>
    <row r="475" spans="9:9">
      <c r="I475" s="21"/>
    </row>
    <row r="476" spans="9:9">
      <c r="I476" s="21"/>
    </row>
    <row r="477" spans="9:9">
      <c r="I477" s="21"/>
    </row>
    <row r="478" spans="9:9">
      <c r="I478" s="21"/>
    </row>
    <row r="479" spans="9:9">
      <c r="I479" s="21"/>
    </row>
    <row r="480" spans="9:9">
      <c r="I480" s="21"/>
    </row>
    <row r="481" spans="9:9">
      <c r="I481" s="21"/>
    </row>
    <row r="482" spans="9:9">
      <c r="I482" s="21"/>
    </row>
    <row r="483" spans="9:9">
      <c r="I483" s="21"/>
    </row>
    <row r="484" spans="9:9">
      <c r="I484" s="21"/>
    </row>
    <row r="485" spans="9:9">
      <c r="I485" s="21"/>
    </row>
    <row r="486" spans="9:9">
      <c r="I486" s="21"/>
    </row>
    <row r="487" spans="9:9">
      <c r="I487" s="21"/>
    </row>
    <row r="488" spans="9:9">
      <c r="I488" s="21"/>
    </row>
    <row r="489" spans="9:9">
      <c r="I489" s="21"/>
    </row>
    <row r="490" spans="9:9">
      <c r="I490" s="21"/>
    </row>
    <row r="491" spans="9:9">
      <c r="I491" s="21"/>
    </row>
    <row r="492" spans="9:9">
      <c r="I492" s="21"/>
    </row>
    <row r="493" spans="9:9">
      <c r="I493" s="21"/>
    </row>
    <row r="494" spans="9:9">
      <c r="I494" s="21"/>
    </row>
    <row r="495" spans="9:9">
      <c r="I495" s="21"/>
    </row>
    <row r="496" spans="9:9">
      <c r="I496" s="21"/>
    </row>
    <row r="497" spans="9:9">
      <c r="I497" s="21"/>
    </row>
    <row r="498" spans="9:9">
      <c r="I498" s="21"/>
    </row>
    <row r="499" spans="9:9">
      <c r="I499" s="21"/>
    </row>
    <row r="500" spans="9:9">
      <c r="I500" s="21"/>
    </row>
    <row r="501" spans="9:9">
      <c r="I501" s="21"/>
    </row>
    <row r="502" spans="9:9">
      <c r="I502" s="21"/>
    </row>
    <row r="503" spans="9:9">
      <c r="I503" s="21"/>
    </row>
    <row r="504" spans="9:9">
      <c r="I504" s="21"/>
    </row>
    <row r="505" spans="9:9">
      <c r="I505" s="21"/>
    </row>
    <row r="506" spans="9:9">
      <c r="I506" s="21"/>
    </row>
    <row r="507" spans="9:9">
      <c r="I507" s="21"/>
    </row>
    <row r="508" spans="9:9">
      <c r="I508" s="21"/>
    </row>
    <row r="509" spans="9:9">
      <c r="I509" s="21"/>
    </row>
    <row r="510" spans="9:9">
      <c r="I510" s="21"/>
    </row>
    <row r="511" spans="9:9">
      <c r="I511" s="21"/>
    </row>
    <row r="512" spans="9:9">
      <c r="I512" s="21"/>
    </row>
    <row r="513" spans="9:9">
      <c r="I513" s="21"/>
    </row>
    <row r="514" spans="9:9">
      <c r="I514" s="21"/>
    </row>
    <row r="515" spans="9:9">
      <c r="I515" s="21"/>
    </row>
    <row r="516" spans="9:9">
      <c r="I516" s="21"/>
    </row>
    <row r="517" spans="9:9">
      <c r="I517" s="21"/>
    </row>
    <row r="518" spans="9:9">
      <c r="I518" s="21"/>
    </row>
    <row r="519" spans="9:9">
      <c r="I519" s="21"/>
    </row>
    <row r="520" spans="9:9">
      <c r="I520" s="21"/>
    </row>
    <row r="521" spans="9:9">
      <c r="I521" s="21"/>
    </row>
    <row r="522" spans="9:9">
      <c r="I522" s="21"/>
    </row>
    <row r="523" spans="9:9">
      <c r="I523" s="21"/>
    </row>
    <row r="524" spans="9:9">
      <c r="I524" s="21"/>
    </row>
    <row r="525" spans="9:9">
      <c r="I525" s="21"/>
    </row>
    <row r="526" spans="9:9">
      <c r="I526" s="21"/>
    </row>
    <row r="527" spans="9:9">
      <c r="I527" s="21"/>
    </row>
    <row r="528" spans="9:9">
      <c r="I528" s="21"/>
    </row>
    <row r="529" spans="9:9">
      <c r="I529" s="21"/>
    </row>
    <row r="530" spans="9:9">
      <c r="I530" s="21"/>
    </row>
    <row r="531" spans="9:9">
      <c r="I531" s="21"/>
    </row>
    <row r="532" spans="9:9">
      <c r="I532" s="21"/>
    </row>
    <row r="533" spans="9:9">
      <c r="I533" s="21"/>
    </row>
    <row r="534" spans="9:9">
      <c r="I534" s="21"/>
    </row>
    <row r="535" spans="9:9">
      <c r="I535" s="21"/>
    </row>
    <row r="536" spans="9:9">
      <c r="I536" s="21"/>
    </row>
    <row r="537" spans="9:9">
      <c r="I537" s="21"/>
    </row>
    <row r="538" spans="9:9">
      <c r="I538" s="21"/>
    </row>
    <row r="539" spans="9:9">
      <c r="I539" s="21"/>
    </row>
    <row r="540" spans="9:9">
      <c r="I540" s="21"/>
    </row>
    <row r="541" spans="9:9">
      <c r="I541" s="21"/>
    </row>
    <row r="542" spans="9:9">
      <c r="I542" s="21"/>
    </row>
    <row r="543" spans="9:9">
      <c r="I543" s="21"/>
    </row>
    <row r="544" spans="9:9">
      <c r="I544" s="21"/>
    </row>
    <row r="545" spans="9:9">
      <c r="I545" s="21"/>
    </row>
    <row r="546" spans="9:9">
      <c r="I546" s="21"/>
    </row>
    <row r="547" spans="9:9">
      <c r="I547" s="21"/>
    </row>
    <row r="548" spans="9:9">
      <c r="I548" s="21"/>
    </row>
    <row r="549" spans="9:9">
      <c r="I549" s="21"/>
    </row>
    <row r="550" spans="9:9">
      <c r="I550" s="21"/>
    </row>
    <row r="551" spans="9:9">
      <c r="I551" s="21"/>
    </row>
    <row r="552" spans="9:9">
      <c r="I552" s="21"/>
    </row>
    <row r="553" spans="9:9">
      <c r="I553" s="21"/>
    </row>
    <row r="554" spans="9:9">
      <c r="I554" s="21"/>
    </row>
    <row r="555" spans="9:9">
      <c r="I555" s="21"/>
    </row>
    <row r="556" spans="9:9">
      <c r="I556" s="21"/>
    </row>
    <row r="557" spans="9:9">
      <c r="I557" s="21"/>
    </row>
    <row r="558" spans="9:9">
      <c r="I558" s="21"/>
    </row>
    <row r="559" spans="9:9">
      <c r="I559" s="21"/>
    </row>
    <row r="560" spans="9:9">
      <c r="I560" s="21"/>
    </row>
    <row r="561" spans="9:9">
      <c r="I561" s="21"/>
    </row>
    <row r="562" spans="9:9">
      <c r="I562" s="21"/>
    </row>
    <row r="563" spans="9:9">
      <c r="I563" s="21"/>
    </row>
    <row r="564" spans="9:9">
      <c r="I564" s="21"/>
    </row>
    <row r="565" spans="9:9">
      <c r="I565" s="21"/>
    </row>
    <row r="566" spans="9:9">
      <c r="I566" s="21"/>
    </row>
    <row r="567" spans="9:9">
      <c r="I567" s="21"/>
    </row>
    <row r="568" spans="9:9">
      <c r="I568" s="21"/>
    </row>
    <row r="569" spans="9:9">
      <c r="I569" s="21"/>
    </row>
    <row r="570" spans="9:9">
      <c r="I570" s="21"/>
    </row>
    <row r="571" spans="9:9">
      <c r="I571" s="21"/>
    </row>
    <row r="572" spans="9:9">
      <c r="I572" s="21"/>
    </row>
    <row r="573" spans="9:9">
      <c r="I573" s="21"/>
    </row>
    <row r="574" spans="9:9">
      <c r="I574" s="21"/>
    </row>
    <row r="575" spans="9:9">
      <c r="I575" s="21"/>
    </row>
    <row r="576" spans="9:9">
      <c r="I576" s="21"/>
    </row>
    <row r="577" spans="9:9">
      <c r="I577" s="21"/>
    </row>
    <row r="578" spans="9:9">
      <c r="I578" s="21"/>
    </row>
    <row r="579" spans="9:9">
      <c r="I579" s="21"/>
    </row>
    <row r="580" spans="9:9">
      <c r="I580" s="21"/>
    </row>
    <row r="581" spans="9:9">
      <c r="I581" s="21"/>
    </row>
    <row r="582" spans="9:9">
      <c r="I582" s="21"/>
    </row>
    <row r="583" spans="9:9">
      <c r="I583" s="21"/>
    </row>
    <row r="584" spans="9:9">
      <c r="I584" s="21"/>
    </row>
    <row r="585" spans="9:9">
      <c r="I585" s="21"/>
    </row>
    <row r="586" spans="9:9">
      <c r="I586" s="21"/>
    </row>
    <row r="587" spans="9:9">
      <c r="I587" s="21"/>
    </row>
    <row r="588" spans="9:9">
      <c r="I588" s="21"/>
    </row>
    <row r="589" spans="9:9">
      <c r="I589" s="21"/>
    </row>
    <row r="590" spans="9:9">
      <c r="I590" s="21"/>
    </row>
    <row r="591" spans="9:9">
      <c r="I591" s="21"/>
    </row>
    <row r="592" spans="9:9">
      <c r="I592" s="21"/>
    </row>
    <row r="593" spans="9:9">
      <c r="I593" s="21"/>
    </row>
    <row r="594" spans="9:9">
      <c r="I594" s="21"/>
    </row>
    <row r="595" spans="9:9">
      <c r="I595" s="21"/>
    </row>
    <row r="596" spans="9:9">
      <c r="I596" s="21"/>
    </row>
    <row r="597" spans="9:9">
      <c r="I597" s="21"/>
    </row>
    <row r="598" spans="9:9">
      <c r="I598" s="21"/>
    </row>
    <row r="599" spans="9:9">
      <c r="I599" s="21"/>
    </row>
    <row r="600" spans="9:9">
      <c r="I600" s="21"/>
    </row>
    <row r="601" spans="9:9">
      <c r="I601" s="21"/>
    </row>
    <row r="602" spans="9:9">
      <c r="I602" s="21"/>
    </row>
    <row r="603" spans="9:9">
      <c r="I603" s="21"/>
    </row>
    <row r="604" spans="9:9">
      <c r="I604" s="21"/>
    </row>
    <row r="605" spans="9:9">
      <c r="I605" s="21"/>
    </row>
    <row r="606" spans="9:9">
      <c r="I606" s="21"/>
    </row>
    <row r="607" spans="9:9">
      <c r="I607" s="21"/>
    </row>
    <row r="608" spans="9:9">
      <c r="I608" s="21"/>
    </row>
    <row r="609" spans="9:9">
      <c r="I609" s="21"/>
    </row>
    <row r="610" spans="9:9">
      <c r="I610" s="21"/>
    </row>
    <row r="611" spans="9:9">
      <c r="I611" s="21"/>
    </row>
    <row r="612" spans="9:9">
      <c r="I612" s="21"/>
    </row>
    <row r="613" spans="9:9">
      <c r="I613" s="21"/>
    </row>
    <row r="614" spans="9:9">
      <c r="I614" s="21"/>
    </row>
    <row r="615" spans="9:9">
      <c r="I615" s="21"/>
    </row>
    <row r="616" spans="9:9">
      <c r="I616" s="21"/>
    </row>
    <row r="617" spans="9:9">
      <c r="I617" s="21"/>
    </row>
    <row r="618" spans="9:9">
      <c r="I618" s="21"/>
    </row>
    <row r="619" spans="9:9">
      <c r="I619" s="21"/>
    </row>
    <row r="620" spans="9:9">
      <c r="I620" s="21"/>
    </row>
    <row r="621" spans="9:9">
      <c r="I621" s="21"/>
    </row>
    <row r="622" spans="9:9">
      <c r="I622" s="21"/>
    </row>
    <row r="623" spans="9:9">
      <c r="I623" s="21"/>
    </row>
    <row r="624" spans="9:9">
      <c r="I624" s="21"/>
    </row>
    <row r="625" spans="9:9">
      <c r="I625" s="21"/>
    </row>
    <row r="626" spans="9:9">
      <c r="I626" s="21"/>
    </row>
    <row r="627" spans="9:9">
      <c r="I627" s="21"/>
    </row>
    <row r="628" spans="9:9">
      <c r="I628" s="21"/>
    </row>
    <row r="629" spans="9:9">
      <c r="I629" s="21"/>
    </row>
    <row r="630" spans="9:9">
      <c r="I630" s="21"/>
    </row>
    <row r="631" spans="9:9">
      <c r="I631" s="21"/>
    </row>
    <row r="632" spans="9:9">
      <c r="I632" s="21"/>
    </row>
    <row r="633" spans="9:9">
      <c r="I633" s="21"/>
    </row>
    <row r="634" spans="9:9">
      <c r="I634" s="21"/>
    </row>
    <row r="635" spans="9:9">
      <c r="I635" s="21"/>
    </row>
    <row r="636" spans="9:9">
      <c r="I636" s="21"/>
    </row>
    <row r="637" spans="9:9">
      <c r="I637" s="21"/>
    </row>
    <row r="638" spans="9:9">
      <c r="I638" s="21"/>
    </row>
    <row r="639" spans="9:9">
      <c r="I639" s="21"/>
    </row>
    <row r="640" spans="9:9">
      <c r="I640" s="21"/>
    </row>
    <row r="641" spans="9:9">
      <c r="I641" s="21"/>
    </row>
    <row r="642" spans="9:9">
      <c r="I642" s="21"/>
    </row>
    <row r="643" spans="9:9">
      <c r="I643" s="21"/>
    </row>
    <row r="644" spans="9:9">
      <c r="I644" s="21"/>
    </row>
    <row r="645" spans="9:9">
      <c r="I645" s="21"/>
    </row>
    <row r="646" spans="9:9">
      <c r="I646" s="21"/>
    </row>
    <row r="647" spans="9:9">
      <c r="I647" s="21"/>
    </row>
    <row r="648" spans="9:9">
      <c r="I648" s="21"/>
    </row>
    <row r="649" spans="9:9">
      <c r="I649" s="21"/>
    </row>
    <row r="650" spans="9:9">
      <c r="I650" s="21"/>
    </row>
    <row r="651" spans="9:9">
      <c r="I651" s="21"/>
    </row>
    <row r="652" spans="9:9">
      <c r="I652" s="21"/>
    </row>
    <row r="653" spans="9:9">
      <c r="I653" s="21"/>
    </row>
    <row r="654" spans="9:9">
      <c r="I654" s="21"/>
    </row>
    <row r="655" spans="9:9">
      <c r="I655" s="21"/>
    </row>
    <row r="656" spans="9:9">
      <c r="I656" s="21"/>
    </row>
    <row r="657" spans="9:9">
      <c r="I657" s="21"/>
    </row>
    <row r="658" spans="9:9">
      <c r="I658" s="21"/>
    </row>
    <row r="659" spans="9:9">
      <c r="I659" s="21"/>
    </row>
    <row r="660" spans="9:9">
      <c r="I660" s="21"/>
    </row>
    <row r="661" spans="9:9">
      <c r="I661" s="21"/>
    </row>
    <row r="662" spans="9:9">
      <c r="I662" s="21"/>
    </row>
    <row r="663" spans="9:9">
      <c r="I663" s="21"/>
    </row>
    <row r="664" spans="9:9">
      <c r="I664" s="21"/>
    </row>
    <row r="665" spans="9:9">
      <c r="I665" s="21"/>
    </row>
    <row r="666" spans="9:9">
      <c r="I666" s="21"/>
    </row>
    <row r="667" spans="9:9">
      <c r="I667" s="21"/>
    </row>
    <row r="668" spans="9:9">
      <c r="I668" s="21"/>
    </row>
    <row r="669" spans="9:9">
      <c r="I669" s="21"/>
    </row>
    <row r="670" spans="9:9">
      <c r="I670" s="21"/>
    </row>
    <row r="671" spans="9:9">
      <c r="I671" s="21"/>
    </row>
    <row r="672" spans="9:9">
      <c r="I672" s="21"/>
    </row>
    <row r="673" spans="9:9">
      <c r="I673" s="21"/>
    </row>
    <row r="674" spans="9:9">
      <c r="I674" s="21"/>
    </row>
    <row r="675" spans="9:9">
      <c r="I675" s="21"/>
    </row>
    <row r="676" spans="9:9">
      <c r="I676" s="21"/>
    </row>
    <row r="677" spans="9:9">
      <c r="I677" s="21"/>
    </row>
    <row r="678" spans="9:9">
      <c r="I678" s="21"/>
    </row>
    <row r="679" spans="9:9">
      <c r="I679" s="21"/>
    </row>
    <row r="680" spans="9:9">
      <c r="I680" s="21"/>
    </row>
    <row r="681" spans="9:9">
      <c r="I681" s="21"/>
    </row>
    <row r="682" spans="9:9">
      <c r="I682" s="21"/>
    </row>
    <row r="683" spans="9:9">
      <c r="I683" s="21"/>
    </row>
    <row r="684" spans="9:9">
      <c r="I684" s="21"/>
    </row>
    <row r="685" spans="9:9">
      <c r="I685" s="21"/>
    </row>
    <row r="686" spans="9:9">
      <c r="I686" s="21"/>
    </row>
    <row r="687" spans="9:9">
      <c r="I687" s="21"/>
    </row>
    <row r="688" spans="9:9">
      <c r="I688" s="21"/>
    </row>
    <row r="689" spans="9:9">
      <c r="I689" s="21"/>
    </row>
    <row r="690" spans="9:9">
      <c r="I690" s="21"/>
    </row>
    <row r="691" spans="9:9">
      <c r="I691" s="21"/>
    </row>
    <row r="692" spans="9:9">
      <c r="I692" s="21"/>
    </row>
    <row r="693" spans="9:9">
      <c r="I693" s="21"/>
    </row>
    <row r="694" spans="9:9">
      <c r="I694" s="21"/>
    </row>
    <row r="695" spans="9:9">
      <c r="I695" s="21"/>
    </row>
    <row r="696" spans="9:9">
      <c r="I696" s="21"/>
    </row>
    <row r="697" spans="9:9">
      <c r="I697" s="21"/>
    </row>
    <row r="698" spans="9:9">
      <c r="I698" s="21"/>
    </row>
    <row r="699" spans="9:9">
      <c r="I699" s="21"/>
    </row>
    <row r="700" spans="9:9">
      <c r="I700" s="21"/>
    </row>
    <row r="701" spans="9:9">
      <c r="I701" s="21"/>
    </row>
    <row r="702" spans="9:9">
      <c r="I702" s="21"/>
    </row>
    <row r="703" spans="9:9">
      <c r="I703" s="21"/>
    </row>
    <row r="704" spans="9:9">
      <c r="I704" s="21"/>
    </row>
    <row r="705" spans="9:9">
      <c r="I705" s="21"/>
    </row>
    <row r="706" spans="9:9">
      <c r="I706" s="21"/>
    </row>
    <row r="707" spans="9:9">
      <c r="I707" s="21"/>
    </row>
    <row r="708" spans="9:9">
      <c r="I708" s="21"/>
    </row>
    <row r="709" spans="9:9">
      <c r="I709" s="21"/>
    </row>
    <row r="710" spans="9:9">
      <c r="I710" s="21"/>
    </row>
    <row r="711" spans="9:9">
      <c r="I711" s="21"/>
    </row>
    <row r="712" spans="9:9">
      <c r="I712" s="21"/>
    </row>
    <row r="713" spans="9:9">
      <c r="I713" s="21"/>
    </row>
    <row r="714" spans="9:9">
      <c r="I714" s="21"/>
    </row>
    <row r="715" spans="9:9">
      <c r="I715" s="21"/>
    </row>
    <row r="716" spans="9:9">
      <c r="I716" s="21"/>
    </row>
    <row r="717" spans="9:9">
      <c r="I717" s="21"/>
    </row>
    <row r="718" spans="9:9">
      <c r="I718" s="21"/>
    </row>
    <row r="719" spans="9:9">
      <c r="I719" s="21"/>
    </row>
    <row r="720" spans="9:9">
      <c r="I720" s="21"/>
    </row>
    <row r="721" spans="9:9">
      <c r="I721" s="21"/>
    </row>
    <row r="722" spans="9:9">
      <c r="I722" s="21"/>
    </row>
    <row r="723" spans="9:9">
      <c r="I723" s="21"/>
    </row>
    <row r="724" spans="9:9">
      <c r="I724" s="21"/>
    </row>
    <row r="725" spans="9:9">
      <c r="I725" s="21"/>
    </row>
    <row r="726" spans="9:9">
      <c r="I726" s="21"/>
    </row>
    <row r="727" spans="9:9">
      <c r="I727" s="21"/>
    </row>
    <row r="728" spans="9:9">
      <c r="I728" s="21"/>
    </row>
    <row r="729" spans="9:9">
      <c r="I729" s="21"/>
    </row>
    <row r="730" spans="9:9">
      <c r="I730" s="21"/>
    </row>
    <row r="731" spans="9:9">
      <c r="I731" s="21"/>
    </row>
    <row r="732" spans="9:9">
      <c r="I732" s="21"/>
    </row>
    <row r="733" spans="9:9">
      <c r="I733" s="21"/>
    </row>
    <row r="734" spans="9:9">
      <c r="I734" s="21"/>
    </row>
    <row r="735" spans="9:9">
      <c r="I735" s="21"/>
    </row>
    <row r="736" spans="9:9">
      <c r="I736" s="21"/>
    </row>
    <row r="737" spans="9:9">
      <c r="I737" s="21"/>
    </row>
    <row r="738" spans="9:9">
      <c r="I738" s="21"/>
    </row>
    <row r="739" spans="9:9">
      <c r="I739" s="21"/>
    </row>
    <row r="740" spans="9:9">
      <c r="I740" s="21"/>
    </row>
    <row r="741" spans="9:9">
      <c r="I741" s="21"/>
    </row>
    <row r="742" spans="9:9">
      <c r="I742" s="21"/>
    </row>
    <row r="743" spans="9:9">
      <c r="I743" s="21"/>
    </row>
    <row r="744" spans="9:9">
      <c r="I744" s="21"/>
    </row>
    <row r="745" spans="9:9">
      <c r="I745" s="21"/>
    </row>
    <row r="746" spans="9:9">
      <c r="I746" s="21"/>
    </row>
    <row r="747" spans="9:9">
      <c r="I747" s="21"/>
    </row>
    <row r="748" spans="9:9">
      <c r="I748" s="21"/>
    </row>
    <row r="749" spans="9:9">
      <c r="I749" s="21"/>
    </row>
    <row r="750" spans="9:9">
      <c r="I750" s="21"/>
    </row>
    <row r="751" spans="9:9">
      <c r="I751" s="21"/>
    </row>
    <row r="752" spans="9:9">
      <c r="I752" s="21"/>
    </row>
    <row r="753" spans="9:9">
      <c r="I753" s="21"/>
    </row>
    <row r="754" spans="9:9">
      <c r="I754" s="21"/>
    </row>
    <row r="755" spans="9:9">
      <c r="I755" s="21"/>
    </row>
    <row r="756" spans="9:9">
      <c r="I756" s="21"/>
    </row>
    <row r="757" spans="9:9">
      <c r="I757" s="21"/>
    </row>
    <row r="758" spans="9:9">
      <c r="I758" s="21"/>
    </row>
    <row r="759" spans="9:9">
      <c r="I759" s="21"/>
    </row>
    <row r="760" spans="9:9">
      <c r="I760" s="21"/>
    </row>
    <row r="761" spans="9:9">
      <c r="I761" s="21"/>
    </row>
    <row r="762" spans="9:9">
      <c r="I762" s="21"/>
    </row>
    <row r="763" spans="9:9">
      <c r="I763" s="21"/>
    </row>
    <row r="764" spans="9:9">
      <c r="I764" s="21"/>
    </row>
    <row r="765" spans="9:9">
      <c r="I765" s="21"/>
    </row>
    <row r="766" spans="9:9">
      <c r="I766" s="21"/>
    </row>
    <row r="767" spans="9:9">
      <c r="I767" s="21"/>
    </row>
    <row r="768" spans="9:9">
      <c r="I768" s="21"/>
    </row>
    <row r="769" spans="9:9">
      <c r="I769" s="21"/>
    </row>
    <row r="770" spans="9:9">
      <c r="I770" s="21"/>
    </row>
    <row r="771" spans="9:9">
      <c r="I771" s="21"/>
    </row>
    <row r="772" spans="9:9">
      <c r="I772" s="21"/>
    </row>
    <row r="773" spans="9:9">
      <c r="I773" s="21"/>
    </row>
    <row r="774" spans="9:9">
      <c r="I774" s="21"/>
    </row>
    <row r="775" spans="9:9">
      <c r="I775" s="21"/>
    </row>
    <row r="776" spans="9:9">
      <c r="I776" s="21"/>
    </row>
    <row r="777" spans="9:9">
      <c r="I777" s="21"/>
    </row>
    <row r="778" spans="9:9">
      <c r="I778" s="21"/>
    </row>
    <row r="779" spans="9:9">
      <c r="I779" s="21"/>
    </row>
    <row r="780" spans="9:9">
      <c r="I780" s="21"/>
    </row>
    <row r="781" spans="9:9">
      <c r="I781" s="21"/>
    </row>
    <row r="782" spans="9:9">
      <c r="I782" s="21"/>
    </row>
    <row r="783" spans="9:9">
      <c r="I783" s="21"/>
    </row>
    <row r="784" spans="9:9">
      <c r="I784" s="21"/>
    </row>
    <row r="785" spans="9:9">
      <c r="I785" s="21"/>
    </row>
    <row r="786" spans="9:9">
      <c r="I786" s="21"/>
    </row>
    <row r="787" spans="9:9">
      <c r="I787" s="21"/>
    </row>
    <row r="788" spans="9:9">
      <c r="I788" s="21"/>
    </row>
    <row r="789" spans="9:9">
      <c r="I789" s="21"/>
    </row>
    <row r="790" spans="9:9">
      <c r="I790" s="21"/>
    </row>
    <row r="791" spans="9:9">
      <c r="I791" s="21"/>
    </row>
    <row r="792" spans="9:9">
      <c r="I792" s="21"/>
    </row>
    <row r="793" spans="9:9">
      <c r="I793" s="21"/>
    </row>
    <row r="794" spans="9:9">
      <c r="I794" s="21"/>
    </row>
    <row r="795" spans="9:9">
      <c r="I795" s="21"/>
    </row>
    <row r="796" spans="9:9">
      <c r="I796" s="21"/>
    </row>
    <row r="797" spans="9:9">
      <c r="I797" s="21"/>
    </row>
    <row r="798" spans="9:9">
      <c r="I798" s="21"/>
    </row>
    <row r="799" spans="9:9">
      <c r="I799" s="21"/>
    </row>
    <row r="800" spans="9:9">
      <c r="I800" s="21"/>
    </row>
    <row r="801" spans="9:9">
      <c r="I801" s="21"/>
    </row>
    <row r="802" spans="9:9">
      <c r="I802" s="21"/>
    </row>
    <row r="803" spans="9:9">
      <c r="I803" s="21"/>
    </row>
    <row r="804" spans="9:9">
      <c r="I804" s="21"/>
    </row>
    <row r="805" spans="9:9">
      <c r="I805" s="21"/>
    </row>
    <row r="806" spans="9:9">
      <c r="I806" s="21"/>
    </row>
    <row r="807" spans="9:9">
      <c r="I807" s="21"/>
    </row>
    <row r="808" spans="9:9">
      <c r="I808" s="21"/>
    </row>
    <row r="809" spans="9:9">
      <c r="I809" s="21"/>
    </row>
    <row r="810" spans="9:9">
      <c r="I810" s="21"/>
    </row>
    <row r="811" spans="9:9">
      <c r="I811" s="21"/>
    </row>
    <row r="812" spans="9:9">
      <c r="I812" s="21"/>
    </row>
    <row r="813" spans="9:9">
      <c r="I813" s="21"/>
    </row>
    <row r="814" spans="9:9">
      <c r="I814" s="21"/>
    </row>
    <row r="815" spans="9:9">
      <c r="I815" s="21"/>
    </row>
    <row r="816" spans="9:9">
      <c r="I816" s="21"/>
    </row>
    <row r="817" spans="9:9">
      <c r="I817" s="21"/>
    </row>
    <row r="818" spans="9:9">
      <c r="I818" s="21"/>
    </row>
    <row r="819" spans="9:9">
      <c r="I819" s="21"/>
    </row>
    <row r="820" spans="9:9">
      <c r="I820" s="21"/>
    </row>
    <row r="821" spans="9:9">
      <c r="I821" s="21"/>
    </row>
    <row r="822" spans="9:9">
      <c r="I822" s="21"/>
    </row>
    <row r="823" spans="9:9">
      <c r="I823" s="21"/>
    </row>
    <row r="824" spans="9:9">
      <c r="I824" s="21"/>
    </row>
    <row r="825" spans="9:9">
      <c r="I825" s="21"/>
    </row>
    <row r="826" spans="9:9">
      <c r="I826" s="21"/>
    </row>
    <row r="827" spans="9:9">
      <c r="I827" s="21"/>
    </row>
    <row r="828" spans="9:9">
      <c r="I828" s="21"/>
    </row>
    <row r="829" spans="9:9">
      <c r="I829" s="21"/>
    </row>
    <row r="830" spans="9:9">
      <c r="I830" s="21"/>
    </row>
    <row r="831" spans="9:9">
      <c r="I831" s="21"/>
    </row>
    <row r="832" spans="9:9">
      <c r="I832" s="21"/>
    </row>
    <row r="833" spans="9:9">
      <c r="I833" s="21"/>
    </row>
    <row r="834" spans="9:9">
      <c r="I834" s="21"/>
    </row>
    <row r="835" spans="9:9">
      <c r="I835" s="21"/>
    </row>
    <row r="836" spans="9:9">
      <c r="I836" s="21"/>
    </row>
    <row r="837" spans="9:9">
      <c r="I837" s="21"/>
    </row>
    <row r="838" spans="9:9">
      <c r="I838" s="21"/>
    </row>
    <row r="839" spans="9:9">
      <c r="I839" s="21"/>
    </row>
    <row r="840" spans="9:9">
      <c r="I840" s="21"/>
    </row>
    <row r="841" spans="9:9">
      <c r="I841" s="21"/>
    </row>
    <row r="842" spans="9:9">
      <c r="I842" s="21"/>
    </row>
    <row r="843" spans="9:9">
      <c r="I843" s="21"/>
    </row>
    <row r="844" spans="9:9">
      <c r="I844" s="21"/>
    </row>
    <row r="845" spans="9:9">
      <c r="I845" s="21"/>
    </row>
    <row r="846" spans="9:9">
      <c r="I846" s="21"/>
    </row>
    <row r="847" spans="9:9">
      <c r="I847" s="21"/>
    </row>
    <row r="848" spans="9:9">
      <c r="I848" s="21"/>
    </row>
    <row r="849" spans="9:9">
      <c r="I849" s="21"/>
    </row>
    <row r="850" spans="9:9">
      <c r="I850" s="21"/>
    </row>
    <row r="851" spans="9:9">
      <c r="I851" s="21"/>
    </row>
    <row r="852" spans="9:9">
      <c r="I852" s="21"/>
    </row>
    <row r="853" spans="9:9">
      <c r="I853" s="21"/>
    </row>
    <row r="854" spans="9:9">
      <c r="I854" s="21"/>
    </row>
    <row r="855" spans="9:9">
      <c r="I855" s="21"/>
    </row>
    <row r="856" spans="9:9">
      <c r="I856" s="21"/>
    </row>
    <row r="857" spans="9:9">
      <c r="I857" s="21"/>
    </row>
    <row r="858" spans="9:9">
      <c r="I858" s="21"/>
    </row>
    <row r="859" spans="9:9">
      <c r="I859" s="21"/>
    </row>
    <row r="860" spans="9:9">
      <c r="I860" s="21"/>
    </row>
    <row r="861" spans="9:9">
      <c r="I861" s="21"/>
    </row>
    <row r="862" spans="9:9">
      <c r="I862" s="21"/>
    </row>
    <row r="863" spans="9:9">
      <c r="I863" s="21"/>
    </row>
    <row r="864" spans="9:9">
      <c r="I864" s="21"/>
    </row>
    <row r="865" spans="9:9">
      <c r="I865" s="21"/>
    </row>
    <row r="866" spans="9:9">
      <c r="I866" s="21"/>
    </row>
    <row r="867" spans="9:9">
      <c r="I867" s="21"/>
    </row>
    <row r="868" spans="9:9">
      <c r="I868" s="21"/>
    </row>
    <row r="869" spans="9:9">
      <c r="I869" s="21"/>
    </row>
    <row r="870" spans="9:9">
      <c r="I870" s="21"/>
    </row>
    <row r="871" spans="9:9">
      <c r="I871" s="21"/>
    </row>
    <row r="872" spans="9:9">
      <c r="I872" s="21"/>
    </row>
    <row r="873" spans="9:9">
      <c r="I873" s="21"/>
    </row>
    <row r="874" spans="9:9">
      <c r="I874" s="21"/>
    </row>
    <row r="875" spans="9:9">
      <c r="I875" s="21"/>
    </row>
    <row r="876" spans="9:9">
      <c r="I876" s="21"/>
    </row>
    <row r="877" spans="9:9">
      <c r="I877" s="21"/>
    </row>
    <row r="878" spans="9:9">
      <c r="I878" s="21"/>
    </row>
    <row r="879" spans="9:9">
      <c r="I879" s="21"/>
    </row>
    <row r="880" spans="9:9">
      <c r="I880" s="21"/>
    </row>
    <row r="881" spans="9:9">
      <c r="I881" s="21"/>
    </row>
    <row r="882" spans="9:9">
      <c r="I882" s="21"/>
    </row>
    <row r="883" spans="9:9">
      <c r="I883" s="21"/>
    </row>
    <row r="884" spans="9:9">
      <c r="I884" s="21"/>
    </row>
    <row r="885" spans="9:9">
      <c r="I885" s="21"/>
    </row>
    <row r="886" spans="9:9">
      <c r="I886" s="21"/>
    </row>
    <row r="887" spans="9:9">
      <c r="I887" s="21"/>
    </row>
    <row r="888" spans="9:9">
      <c r="I888" s="21"/>
    </row>
    <row r="889" spans="9:9">
      <c r="I889" s="21"/>
    </row>
    <row r="890" spans="9:9">
      <c r="I890" s="21"/>
    </row>
    <row r="891" spans="9:9">
      <c r="I891" s="21"/>
    </row>
    <row r="892" spans="9:9">
      <c r="I892" s="21"/>
    </row>
    <row r="893" spans="9:9">
      <c r="I893" s="21"/>
    </row>
    <row r="894" spans="9:9">
      <c r="I894" s="21"/>
    </row>
    <row r="895" spans="9:9">
      <c r="I895" s="21"/>
    </row>
    <row r="896" spans="9:9">
      <c r="I896" s="21"/>
    </row>
    <row r="897" spans="9:9">
      <c r="I897" s="21"/>
    </row>
    <row r="898" spans="9:9">
      <c r="I898" s="21"/>
    </row>
    <row r="899" spans="9:9">
      <c r="I899" s="21"/>
    </row>
    <row r="900" spans="9:9">
      <c r="I900" s="21"/>
    </row>
    <row r="901" spans="9:9">
      <c r="I901" s="21"/>
    </row>
    <row r="902" spans="9:9">
      <c r="I902" s="21"/>
    </row>
    <row r="903" spans="9:9">
      <c r="I903" s="21"/>
    </row>
    <row r="904" spans="9:9">
      <c r="I904" s="21"/>
    </row>
    <row r="905" spans="9:9">
      <c r="I905" s="21"/>
    </row>
    <row r="906" spans="9:9">
      <c r="I906" s="21"/>
    </row>
    <row r="907" spans="9:9">
      <c r="I907" s="21"/>
    </row>
    <row r="908" spans="9:9">
      <c r="I908" s="21"/>
    </row>
    <row r="909" spans="9:9">
      <c r="I909" s="21"/>
    </row>
    <row r="910" spans="9:9">
      <c r="I910" s="21"/>
    </row>
    <row r="911" spans="9:9">
      <c r="I911" s="21"/>
    </row>
    <row r="912" spans="9:9">
      <c r="I912" s="21"/>
    </row>
    <row r="913" spans="9:9">
      <c r="I913" s="21"/>
    </row>
    <row r="914" spans="9:9">
      <c r="I914" s="21"/>
    </row>
    <row r="915" spans="9:9">
      <c r="I915" s="21"/>
    </row>
    <row r="916" spans="9:9">
      <c r="I916" s="21"/>
    </row>
    <row r="917" spans="9:9">
      <c r="I917" s="21"/>
    </row>
    <row r="918" spans="9:9">
      <c r="I918" s="21"/>
    </row>
    <row r="919" spans="9:9">
      <c r="I919" s="21"/>
    </row>
    <row r="920" spans="9:9">
      <c r="I920" s="21"/>
    </row>
    <row r="921" spans="9:9">
      <c r="I921" s="21"/>
    </row>
    <row r="922" spans="9:9">
      <c r="I922" s="21"/>
    </row>
    <row r="923" spans="9:9">
      <c r="I923" s="21"/>
    </row>
    <row r="924" spans="9:9">
      <c r="I924" s="21"/>
    </row>
    <row r="925" spans="9:9">
      <c r="I925" s="21"/>
    </row>
    <row r="926" spans="9:9">
      <c r="I926" s="21"/>
    </row>
    <row r="927" spans="9:9">
      <c r="I927" s="21"/>
    </row>
    <row r="928" spans="9:9">
      <c r="I928" s="21"/>
    </row>
    <row r="929" spans="9:9">
      <c r="I929" s="21"/>
    </row>
    <row r="930" spans="9:9">
      <c r="I930" s="21"/>
    </row>
    <row r="931" spans="9:9">
      <c r="I931" s="21"/>
    </row>
    <row r="932" spans="9:9">
      <c r="I932" s="21"/>
    </row>
    <row r="933" spans="9:9">
      <c r="I933" s="21"/>
    </row>
    <row r="934" spans="9:9">
      <c r="I934" s="21"/>
    </row>
    <row r="935" spans="9:9">
      <c r="I935" s="21"/>
    </row>
    <row r="936" spans="9:9">
      <c r="I936" s="21"/>
    </row>
    <row r="937" spans="9:9">
      <c r="I937" s="21"/>
    </row>
    <row r="938" spans="9:9">
      <c r="I938" s="21"/>
    </row>
    <row r="939" spans="9:9">
      <c r="I939" s="21"/>
    </row>
    <row r="940" spans="9:9">
      <c r="I940" s="21"/>
    </row>
    <row r="941" spans="9:9">
      <c r="I941" s="21"/>
    </row>
    <row r="942" spans="9:9">
      <c r="I942" s="21"/>
    </row>
    <row r="943" spans="9:9">
      <c r="I943" s="21"/>
    </row>
    <row r="944" spans="9:9">
      <c r="I944" s="21"/>
    </row>
    <row r="945" spans="9:9">
      <c r="I945" s="21"/>
    </row>
    <row r="946" spans="9:9">
      <c r="I946" s="21"/>
    </row>
    <row r="947" spans="9:9">
      <c r="I947" s="21"/>
    </row>
    <row r="948" spans="9:9">
      <c r="I948" s="21"/>
    </row>
    <row r="949" spans="9:9">
      <c r="I949" s="21"/>
    </row>
    <row r="950" spans="9:9">
      <c r="I950" s="21"/>
    </row>
    <row r="951" spans="9:9">
      <c r="I951" s="21"/>
    </row>
    <row r="952" spans="9:9">
      <c r="I952" s="21"/>
    </row>
    <row r="953" spans="9:9">
      <c r="I953" s="21"/>
    </row>
    <row r="954" spans="9:9">
      <c r="I954" s="21"/>
    </row>
    <row r="955" spans="9:9">
      <c r="I955" s="21"/>
    </row>
    <row r="956" spans="9:9">
      <c r="I956" s="21"/>
    </row>
    <row r="957" spans="9:9">
      <c r="I957" s="21"/>
    </row>
    <row r="958" spans="9:9">
      <c r="I958" s="21"/>
    </row>
    <row r="959" spans="9:9">
      <c r="I959" s="21"/>
    </row>
    <row r="960" spans="9:9">
      <c r="I960" s="21"/>
    </row>
    <row r="961" spans="9:9">
      <c r="I961" s="21"/>
    </row>
    <row r="962" spans="9:9">
      <c r="I962" s="21"/>
    </row>
    <row r="963" spans="9:9">
      <c r="I963" s="21"/>
    </row>
    <row r="964" spans="9:9">
      <c r="I964" s="21"/>
    </row>
    <row r="965" spans="9:9">
      <c r="I965" s="21"/>
    </row>
    <row r="966" spans="9:9">
      <c r="I966" s="21"/>
    </row>
    <row r="967" spans="9:9">
      <c r="I967" s="21"/>
    </row>
    <row r="968" spans="9:9">
      <c r="I968" s="21"/>
    </row>
    <row r="969" spans="9:9">
      <c r="I969" s="21"/>
    </row>
    <row r="970" spans="9:9">
      <c r="I970" s="21"/>
    </row>
    <row r="971" spans="9:9">
      <c r="I971" s="21"/>
    </row>
    <row r="972" spans="9:9">
      <c r="I972" s="21"/>
    </row>
    <row r="973" spans="9:9">
      <c r="I973" s="21"/>
    </row>
    <row r="974" spans="9:9">
      <c r="I974" s="21"/>
    </row>
    <row r="975" spans="9:9">
      <c r="I975" s="21"/>
    </row>
    <row r="976" spans="9:9">
      <c r="I976" s="21"/>
    </row>
    <row r="977" spans="9:9">
      <c r="I977" s="21"/>
    </row>
    <row r="978" spans="9:9">
      <c r="I978" s="21"/>
    </row>
    <row r="979" spans="9:9">
      <c r="I979" s="21"/>
    </row>
    <row r="980" spans="9:9">
      <c r="I980" s="21"/>
    </row>
    <row r="981" spans="9:9">
      <c r="I981" s="21"/>
    </row>
    <row r="982" spans="9:9">
      <c r="I982" s="21"/>
    </row>
    <row r="983" spans="9:9">
      <c r="I983" s="21"/>
    </row>
    <row r="984" spans="9:9">
      <c r="I984" s="21"/>
    </row>
    <row r="985" spans="9:9">
      <c r="I985" s="21"/>
    </row>
    <row r="986" spans="9:9">
      <c r="I986" s="21"/>
    </row>
    <row r="987" spans="9:9">
      <c r="I987" s="21"/>
    </row>
    <row r="988" spans="9:9">
      <c r="I988" s="21"/>
    </row>
    <row r="989" spans="9:9">
      <c r="I989" s="21"/>
    </row>
    <row r="990" spans="9:9">
      <c r="I990" s="21"/>
    </row>
    <row r="991" spans="9:9">
      <c r="I991" s="21"/>
    </row>
    <row r="992" spans="9:9">
      <c r="I992" s="21"/>
    </row>
    <row r="993" spans="9:9">
      <c r="I993" s="21"/>
    </row>
    <row r="994" spans="9:9">
      <c r="I994" s="21"/>
    </row>
    <row r="995" spans="9:9">
      <c r="I995" s="21"/>
    </row>
    <row r="996" spans="9:9">
      <c r="I996" s="21"/>
    </row>
    <row r="997" spans="9:9">
      <c r="I997" s="21"/>
    </row>
    <row r="998" spans="9:9">
      <c r="I998" s="21"/>
    </row>
    <row r="999" spans="9:9">
      <c r="I999" s="21"/>
    </row>
    <row r="1000" spans="9:9">
      <c r="I1000" s="21"/>
    </row>
  </sheetData>
  <mergeCells count="6">
    <mergeCell ref="K14:K15"/>
    <mergeCell ref="K3:L3"/>
    <mergeCell ref="K4:K5"/>
    <mergeCell ref="K6:K8"/>
    <mergeCell ref="K10:K11"/>
    <mergeCell ref="K12:K13"/>
  </mergeCells>
  <conditionalFormatting sqref="D1:D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{BC1D1EEC-BA6D-4D57-A846-003B8C5A780D}</x14:id>
        </ext>
      </extLst>
    </cfRule>
  </conditionalFormatting>
  <conditionalFormatting sqref="F1:F32">
    <cfRule type="containsText" dxfId="11" priority="2" operator="containsText" text="Electronics">
      <formula>NOT(ISERROR(SEARCH("Electronics",F1)))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1D1EEC-BA6D-4D57-A846-003B8C5A78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FF28-E73C-495A-BA9E-AE4FD207C358}">
  <dimension ref="A1:F35"/>
  <sheetViews>
    <sheetView workbookViewId="0">
      <selection activeCell="G8" sqref="G8"/>
    </sheetView>
  </sheetViews>
  <sheetFormatPr defaultColWidth="8.85546875" defaultRowHeight="12.95"/>
  <cols>
    <col min="1" max="1" width="10.85546875" bestFit="1" customWidth="1"/>
    <col min="2" max="2" width="13.7109375" bestFit="1" customWidth="1"/>
    <col min="3" max="3" width="11.85546875" bestFit="1" customWidth="1"/>
    <col min="4" max="4" width="8.140625" bestFit="1" customWidth="1"/>
    <col min="5" max="5" width="8.42578125" bestFit="1" customWidth="1"/>
    <col min="6" max="6" width="10.85546875" bestFit="1" customWidth="1"/>
  </cols>
  <sheetData>
    <row r="1" spans="1:6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6">
      <c r="A2" s="5" t="s">
        <v>30</v>
      </c>
      <c r="B2" s="5" t="s">
        <v>31</v>
      </c>
      <c r="C2" s="5" t="s">
        <v>32</v>
      </c>
      <c r="D2" s="5">
        <v>1000</v>
      </c>
      <c r="E2" s="5">
        <v>30</v>
      </c>
      <c r="F2" s="5" t="s">
        <v>33</v>
      </c>
    </row>
    <row r="3" spans="1:6">
      <c r="A3" s="8" t="s">
        <v>36</v>
      </c>
      <c r="B3" s="8" t="s">
        <v>37</v>
      </c>
      <c r="C3" s="8" t="s">
        <v>38</v>
      </c>
      <c r="D3" s="8">
        <v>80</v>
      </c>
      <c r="E3" s="8">
        <v>15</v>
      </c>
      <c r="F3" s="8" t="s">
        <v>39</v>
      </c>
    </row>
    <row r="4" spans="1:6">
      <c r="A4" s="5" t="s">
        <v>41</v>
      </c>
      <c r="B4" s="5" t="s">
        <v>42</v>
      </c>
      <c r="C4" s="5" t="s">
        <v>43</v>
      </c>
      <c r="D4" s="5">
        <v>130</v>
      </c>
      <c r="E4" s="5">
        <v>40</v>
      </c>
      <c r="F4" s="5" t="s">
        <v>44</v>
      </c>
    </row>
    <row r="5" spans="1:6">
      <c r="A5" s="8" t="s">
        <v>46</v>
      </c>
      <c r="B5" s="8" t="s">
        <v>47</v>
      </c>
      <c r="C5" s="8" t="s">
        <v>48</v>
      </c>
      <c r="D5" s="8">
        <v>900</v>
      </c>
      <c r="E5" s="8">
        <v>25</v>
      </c>
      <c r="F5" s="8" t="s">
        <v>33</v>
      </c>
    </row>
    <row r="6" spans="1:6">
      <c r="A6" s="5" t="s">
        <v>50</v>
      </c>
      <c r="B6" s="5" t="s">
        <v>51</v>
      </c>
      <c r="C6" s="5" t="s">
        <v>52</v>
      </c>
      <c r="D6" s="5">
        <v>70</v>
      </c>
      <c r="E6" s="5">
        <v>20</v>
      </c>
      <c r="F6" s="5"/>
    </row>
    <row r="7" spans="1:6">
      <c r="A7" s="8" t="s">
        <v>55</v>
      </c>
      <c r="B7" s="8" t="s">
        <v>56</v>
      </c>
      <c r="C7" s="8" t="s">
        <v>57</v>
      </c>
      <c r="D7" s="8"/>
      <c r="E7" s="8">
        <v>45</v>
      </c>
      <c r="F7" s="8" t="s">
        <v>58</v>
      </c>
    </row>
    <row r="8" spans="1:6">
      <c r="A8" s="5" t="s">
        <v>61</v>
      </c>
      <c r="B8" s="5" t="s">
        <v>62</v>
      </c>
      <c r="C8" s="5" t="s">
        <v>63</v>
      </c>
      <c r="D8" s="5">
        <v>30</v>
      </c>
      <c r="E8" s="5">
        <v>5</v>
      </c>
      <c r="F8" s="5" t="s">
        <v>39</v>
      </c>
    </row>
    <row r="9" spans="1:6">
      <c r="A9" s="8" t="s">
        <v>65</v>
      </c>
      <c r="B9" s="8" t="s">
        <v>66</v>
      </c>
      <c r="C9" s="8" t="s">
        <v>67</v>
      </c>
      <c r="D9" s="8">
        <v>90</v>
      </c>
      <c r="E9" s="8">
        <v>35</v>
      </c>
      <c r="F9" s="8" t="s">
        <v>44</v>
      </c>
    </row>
    <row r="10" spans="1:6">
      <c r="A10" s="5" t="s">
        <v>69</v>
      </c>
      <c r="B10" s="5" t="s">
        <v>70</v>
      </c>
      <c r="C10" s="5" t="s">
        <v>71</v>
      </c>
      <c r="D10" s="5">
        <v>500</v>
      </c>
      <c r="E10" s="5">
        <v>50</v>
      </c>
      <c r="F10" s="5" t="s">
        <v>33</v>
      </c>
    </row>
    <row r="11" spans="1:6">
      <c r="A11" s="8" t="s">
        <v>73</v>
      </c>
      <c r="B11" s="8" t="s">
        <v>74</v>
      </c>
      <c r="C11" s="8" t="s">
        <v>75</v>
      </c>
      <c r="D11" s="8">
        <v>130</v>
      </c>
      <c r="E11" s="8">
        <v>10</v>
      </c>
      <c r="F11" s="8" t="s">
        <v>76</v>
      </c>
    </row>
    <row r="12" spans="1:6">
      <c r="A12" s="5" t="s">
        <v>78</v>
      </c>
      <c r="B12" s="5" t="s">
        <v>79</v>
      </c>
      <c r="C12" s="5" t="s">
        <v>80</v>
      </c>
      <c r="D12" s="5">
        <v>950</v>
      </c>
      <c r="E12" s="5">
        <v>25</v>
      </c>
      <c r="F12" s="5" t="s">
        <v>33</v>
      </c>
    </row>
    <row r="13" spans="1:6">
      <c r="A13" s="8" t="s">
        <v>82</v>
      </c>
      <c r="B13" s="8" t="s">
        <v>37</v>
      </c>
      <c r="C13" s="8" t="s">
        <v>63</v>
      </c>
      <c r="D13" s="8">
        <v>90</v>
      </c>
      <c r="E13" s="8">
        <v>40</v>
      </c>
      <c r="F13" s="8"/>
    </row>
    <row r="14" spans="1:6">
      <c r="A14" s="5" t="s">
        <v>85</v>
      </c>
      <c r="B14" s="5" t="s">
        <v>42</v>
      </c>
      <c r="C14" s="5" t="s">
        <v>86</v>
      </c>
      <c r="D14" s="5">
        <v>120</v>
      </c>
      <c r="E14" s="5">
        <v>35</v>
      </c>
      <c r="F14" s="5"/>
    </row>
    <row r="15" spans="1:6">
      <c r="A15" s="8" t="s">
        <v>89</v>
      </c>
      <c r="B15" s="8" t="s">
        <v>90</v>
      </c>
      <c r="C15" s="8" t="s">
        <v>91</v>
      </c>
      <c r="D15" s="8">
        <v>150</v>
      </c>
      <c r="E15" s="8">
        <v>15</v>
      </c>
      <c r="F15" s="8" t="s">
        <v>58</v>
      </c>
    </row>
    <row r="16" spans="1:6">
      <c r="A16" s="5" t="s">
        <v>93</v>
      </c>
      <c r="B16" s="5" t="s">
        <v>94</v>
      </c>
      <c r="C16" s="5" t="s">
        <v>95</v>
      </c>
      <c r="D16" s="5">
        <v>250</v>
      </c>
      <c r="E16" s="5">
        <v>20</v>
      </c>
      <c r="F16" s="5" t="s">
        <v>58</v>
      </c>
    </row>
    <row r="17" spans="1:6">
      <c r="A17" s="8" t="s">
        <v>97</v>
      </c>
      <c r="B17" s="8" t="s">
        <v>98</v>
      </c>
      <c r="C17" s="8" t="s">
        <v>99</v>
      </c>
      <c r="D17" s="8">
        <v>50</v>
      </c>
      <c r="E17" s="8">
        <v>35</v>
      </c>
      <c r="F17" s="8" t="s">
        <v>53</v>
      </c>
    </row>
    <row r="18" spans="1:6">
      <c r="A18" s="5" t="s">
        <v>100</v>
      </c>
      <c r="B18" s="5" t="s">
        <v>90</v>
      </c>
      <c r="C18" s="5" t="s">
        <v>101</v>
      </c>
      <c r="D18" s="5">
        <v>160</v>
      </c>
      <c r="E18" s="5">
        <v>15</v>
      </c>
      <c r="F18" s="5" t="s">
        <v>58</v>
      </c>
    </row>
    <row r="19" spans="1:6">
      <c r="A19" s="8" t="s">
        <v>103</v>
      </c>
      <c r="B19" s="8" t="s">
        <v>31</v>
      </c>
      <c r="C19" s="8" t="s">
        <v>104</v>
      </c>
      <c r="D19" s="8">
        <v>980</v>
      </c>
      <c r="E19" s="8">
        <v>10</v>
      </c>
      <c r="F19" s="8" t="s">
        <v>33</v>
      </c>
    </row>
    <row r="20" spans="1:6">
      <c r="A20" s="5" t="s">
        <v>106</v>
      </c>
      <c r="B20" s="5" t="s">
        <v>107</v>
      </c>
      <c r="C20" s="5" t="s">
        <v>108</v>
      </c>
      <c r="D20" s="5">
        <v>150</v>
      </c>
      <c r="E20" s="5">
        <v>15</v>
      </c>
      <c r="F20" s="5" t="s">
        <v>39</v>
      </c>
    </row>
    <row r="21" spans="1:6">
      <c r="A21" s="8" t="s">
        <v>109</v>
      </c>
      <c r="B21" s="8" t="s">
        <v>110</v>
      </c>
      <c r="C21" s="8" t="s">
        <v>111</v>
      </c>
      <c r="D21" s="8"/>
      <c r="E21" s="8">
        <v>10</v>
      </c>
      <c r="F21" s="8" t="s">
        <v>76</v>
      </c>
    </row>
    <row r="22" spans="1:6">
      <c r="A22" s="5" t="s">
        <v>113</v>
      </c>
      <c r="B22" s="5" t="s">
        <v>114</v>
      </c>
      <c r="C22" s="5" t="s">
        <v>115</v>
      </c>
      <c r="D22" s="5">
        <v>700</v>
      </c>
      <c r="E22" s="5">
        <v>50</v>
      </c>
      <c r="F22" s="5" t="s">
        <v>33</v>
      </c>
    </row>
    <row r="23" spans="1:6">
      <c r="A23" s="8" t="s">
        <v>117</v>
      </c>
      <c r="B23" s="8" t="s">
        <v>118</v>
      </c>
      <c r="C23" s="8" t="s">
        <v>119</v>
      </c>
      <c r="D23" s="8">
        <v>80</v>
      </c>
      <c r="E23" s="8">
        <v>20</v>
      </c>
      <c r="F23" s="8" t="s">
        <v>44</v>
      </c>
    </row>
    <row r="24" spans="1:6">
      <c r="A24" s="5" t="s">
        <v>120</v>
      </c>
      <c r="B24" s="5" t="s">
        <v>121</v>
      </c>
      <c r="C24" s="5" t="s">
        <v>122</v>
      </c>
      <c r="D24" s="5">
        <v>150</v>
      </c>
      <c r="E24" s="5">
        <v>30</v>
      </c>
      <c r="F24" s="5"/>
    </row>
    <row r="25" spans="1:6">
      <c r="A25" s="8" t="s">
        <v>97</v>
      </c>
      <c r="B25" s="8" t="s">
        <v>98</v>
      </c>
      <c r="C25" s="8" t="s">
        <v>99</v>
      </c>
      <c r="D25" s="8">
        <v>50</v>
      </c>
      <c r="E25" s="8">
        <v>35</v>
      </c>
      <c r="F25" s="8" t="s">
        <v>53</v>
      </c>
    </row>
    <row r="26" spans="1:6">
      <c r="A26" s="5" t="s">
        <v>124</v>
      </c>
      <c r="B26" s="5" t="s">
        <v>125</v>
      </c>
      <c r="C26" s="5" t="s">
        <v>126</v>
      </c>
      <c r="D26" s="5">
        <v>800</v>
      </c>
      <c r="E26" s="5">
        <v>45</v>
      </c>
      <c r="F26" s="5" t="s">
        <v>33</v>
      </c>
    </row>
    <row r="27" spans="1:6">
      <c r="A27" s="8" t="s">
        <v>127</v>
      </c>
      <c r="B27" s="8" t="s">
        <v>107</v>
      </c>
      <c r="C27" s="8" t="s">
        <v>128</v>
      </c>
      <c r="D27" s="8"/>
      <c r="E27" s="8">
        <v>25</v>
      </c>
      <c r="F27" s="8" t="s">
        <v>39</v>
      </c>
    </row>
    <row r="28" spans="1:6">
      <c r="A28" s="5" t="s">
        <v>129</v>
      </c>
      <c r="B28" s="5" t="s">
        <v>66</v>
      </c>
      <c r="C28" s="5" t="s">
        <v>130</v>
      </c>
      <c r="D28" s="5">
        <v>400</v>
      </c>
      <c r="E28" s="5">
        <v>40</v>
      </c>
      <c r="F28" s="5" t="s">
        <v>44</v>
      </c>
    </row>
    <row r="29" spans="1:6">
      <c r="A29" s="8" t="s">
        <v>93</v>
      </c>
      <c r="B29" s="8" t="s">
        <v>94</v>
      </c>
      <c r="C29" s="8" t="s">
        <v>95</v>
      </c>
      <c r="D29" s="8">
        <v>250</v>
      </c>
      <c r="E29" s="8">
        <v>20</v>
      </c>
      <c r="F29" s="8" t="s">
        <v>58</v>
      </c>
    </row>
    <row r="30" spans="1:6">
      <c r="A30" s="5" t="s">
        <v>131</v>
      </c>
      <c r="B30" s="5" t="s">
        <v>132</v>
      </c>
      <c r="C30" s="5" t="s">
        <v>133</v>
      </c>
      <c r="D30" s="5">
        <v>60</v>
      </c>
      <c r="E30" s="5">
        <v>30</v>
      </c>
      <c r="F30" s="5" t="s">
        <v>39</v>
      </c>
    </row>
    <row r="31" spans="1:6">
      <c r="A31" s="8" t="s">
        <v>134</v>
      </c>
      <c r="B31" s="8" t="s">
        <v>135</v>
      </c>
      <c r="C31" s="8" t="s">
        <v>136</v>
      </c>
      <c r="D31" s="8">
        <v>40</v>
      </c>
      <c r="E31" s="8">
        <v>10</v>
      </c>
      <c r="F31" s="8" t="s">
        <v>44</v>
      </c>
    </row>
    <row r="32" spans="1:6">
      <c r="A32" s="5" t="s">
        <v>137</v>
      </c>
      <c r="B32" s="5" t="s">
        <v>121</v>
      </c>
      <c r="C32" s="5" t="s">
        <v>138</v>
      </c>
      <c r="D32" s="5">
        <v>130</v>
      </c>
      <c r="E32" s="5">
        <v>5</v>
      </c>
      <c r="F32" s="5" t="s">
        <v>33</v>
      </c>
    </row>
    <row r="33" spans="1:6">
      <c r="A33" s="8" t="s">
        <v>139</v>
      </c>
      <c r="B33" s="8" t="s">
        <v>140</v>
      </c>
      <c r="C33" s="8" t="s">
        <v>141</v>
      </c>
      <c r="D33" s="8">
        <v>50</v>
      </c>
      <c r="E33" s="8">
        <v>50</v>
      </c>
      <c r="F33" s="8" t="s">
        <v>39</v>
      </c>
    </row>
    <row r="34" spans="1:6">
      <c r="A34" s="5" t="s">
        <v>78</v>
      </c>
      <c r="B34" s="5" t="s">
        <v>79</v>
      </c>
      <c r="C34" s="5" t="s">
        <v>80</v>
      </c>
      <c r="D34" s="5">
        <v>950</v>
      </c>
      <c r="E34" s="5">
        <v>25</v>
      </c>
      <c r="F34" s="5" t="s">
        <v>33</v>
      </c>
    </row>
    <row r="35" spans="1:6">
      <c r="A35" s="8" t="s">
        <v>142</v>
      </c>
      <c r="B35" s="8" t="s">
        <v>143</v>
      </c>
      <c r="C35" s="8" t="s">
        <v>144</v>
      </c>
      <c r="D35" s="8">
        <v>100</v>
      </c>
      <c r="E35" s="8">
        <v>20</v>
      </c>
      <c r="F35" s="8" t="s">
        <v>53</v>
      </c>
    </row>
  </sheetData>
  <autoFilter ref="A1:F35" xr:uid="{3DEBFF28-E73C-495A-BA9E-AE4FD207C3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2026-01-06T12:44:16Z</dcterms:created>
  <dcterms:modified xsi:type="dcterms:W3CDTF">2026-01-08T08:36:44Z</dcterms:modified>
  <cp:category/>
  <cp:contentStatus/>
</cp:coreProperties>
</file>